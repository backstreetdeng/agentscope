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\Desktop\2026.6\检查\"/>
    </mc:Choice>
  </mc:AlternateContent>
  <xr:revisionPtr revIDLastSave="0" documentId="8_{CDF64AB9-E6B7-48E4-8D19-CBE93CDE5FB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6月" sheetId="6" r:id="rId1"/>
    <sheet name="5月" sheetId="1" r:id="rId2"/>
    <sheet name="4月" sheetId="2" r:id="rId3"/>
    <sheet name="3月" sheetId="3" r:id="rId4"/>
    <sheet name="2月" sheetId="4" r:id="rId5"/>
    <sheet name="1月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3" i="6" l="1"/>
  <c r="AN13" i="6"/>
  <c r="AM13" i="6"/>
  <c r="AO6" i="6"/>
  <c r="AN6" i="6"/>
  <c r="AM6" i="6"/>
  <c r="AE13" i="6"/>
  <c r="AD13" i="6"/>
  <c r="AC13" i="6"/>
  <c r="AB13" i="6"/>
  <c r="AC6" i="6"/>
  <c r="AD6" i="6"/>
  <c r="AE6" i="6"/>
  <c r="AB6" i="6"/>
  <c r="U13" i="6"/>
  <c r="T13" i="6"/>
  <c r="S13" i="6"/>
  <c r="R13" i="6"/>
  <c r="Q13" i="6"/>
  <c r="R6" i="6"/>
  <c r="S6" i="6"/>
  <c r="T6" i="6"/>
  <c r="U6" i="6"/>
  <c r="Q6" i="6"/>
  <c r="I12" i="6"/>
  <c r="M12" i="6"/>
  <c r="L12" i="6"/>
  <c r="K12" i="6"/>
  <c r="J12" i="6"/>
  <c r="M6" i="6"/>
  <c r="L6" i="6"/>
  <c r="K6" i="6"/>
  <c r="J6" i="6"/>
  <c r="I6" i="6"/>
  <c r="B12" i="6"/>
  <c r="E12" i="6"/>
  <c r="D12" i="6"/>
  <c r="C12" i="6"/>
  <c r="C6" i="6"/>
  <c r="D6" i="6"/>
  <c r="E6" i="6"/>
  <c r="B6" i="6"/>
</calcChain>
</file>

<file path=xl/sharedStrings.xml><?xml version="1.0" encoding="utf-8"?>
<sst xmlns="http://schemas.openxmlformats.org/spreadsheetml/2006/main" count="1260" uniqueCount="111">
  <si>
    <t>车型类别</t>
  </si>
  <si>
    <t>车型级别</t>
  </si>
  <si>
    <t>轿车-级别</t>
  </si>
  <si>
    <t>SUV-级别</t>
  </si>
  <si>
    <t>MPV-级别</t>
  </si>
  <si>
    <t>左图上</t>
  </si>
  <si>
    <t>轿车</t>
  </si>
  <si>
    <t>SUV</t>
  </si>
  <si>
    <t>MPV</t>
  </si>
  <si>
    <t>交叉型乘用车</t>
  </si>
  <si>
    <t>A00</t>
  </si>
  <si>
    <t>A0</t>
  </si>
  <si>
    <t>A</t>
  </si>
  <si>
    <t>B</t>
  </si>
  <si>
    <t>C+</t>
  </si>
  <si>
    <t>同比</t>
  </si>
  <si>
    <t>环比</t>
  </si>
  <si>
    <t>份额</t>
  </si>
  <si>
    <t>左图下</t>
  </si>
  <si>
    <t>右图</t>
  </si>
  <si>
    <t>2025单月</t>
  </si>
  <si>
    <t>2026单月</t>
  </si>
  <si>
    <t>2025累计</t>
  </si>
  <si>
    <t>2026累计</t>
  </si>
  <si>
    <t>行标签</t>
  </si>
  <si>
    <t>车型</t>
  </si>
  <si>
    <t>销量</t>
  </si>
  <si>
    <t>级别</t>
  </si>
  <si>
    <t>排名变化</t>
  </si>
  <si>
    <t>累计</t>
  </si>
  <si>
    <t>星愿</t>
  </si>
  <si>
    <t>特斯拉Model Y</t>
  </si>
  <si>
    <t>赛那</t>
  </si>
  <si>
    <t>小米SU7</t>
  </si>
  <si>
    <t>C</t>
  </si>
  <si>
    <t>零跑A10</t>
  </si>
  <si>
    <t>别克GL8</t>
  </si>
  <si>
    <t>特斯拉Model 3</t>
  </si>
  <si>
    <t>理想i6</t>
  </si>
  <si>
    <t>高山</t>
  </si>
  <si>
    <t>宏光MINIEV</t>
  </si>
  <si>
    <t>海狮06</t>
  </si>
  <si>
    <t>星光730</t>
  </si>
  <si>
    <t>小鹏M03</t>
  </si>
  <si>
    <t>问界M6</t>
  </si>
  <si>
    <t>格瑞维亚</t>
  </si>
  <si>
    <t>轩逸</t>
  </si>
  <si>
    <t>元UP</t>
  </si>
  <si>
    <t>腾势D9</t>
  </si>
  <si>
    <t>凯美瑞</t>
  </si>
  <si>
    <t>宋Pro</t>
  </si>
  <si>
    <t>五菱宏光</t>
  </si>
  <si>
    <t>海豚</t>
  </si>
  <si>
    <t>启源Q05</t>
  </si>
  <si>
    <t>传祺M8</t>
  </si>
  <si>
    <t>五菱缤果Pro</t>
  </si>
  <si>
    <t>缤越</t>
  </si>
  <si>
    <t>岚图梦想家</t>
  </si>
  <si>
    <t>秦PLUS</t>
  </si>
  <si>
    <t>钛7</t>
  </si>
  <si>
    <t>五菱宏光V</t>
  </si>
  <si>
    <t>MG4</t>
  </si>
  <si>
    <t>卡罗拉锐放</t>
  </si>
  <si>
    <t>五菱宏光S</t>
  </si>
  <si>
    <t>迈腾</t>
  </si>
  <si>
    <t>锋兰达</t>
  </si>
  <si>
    <t>极氪009</t>
  </si>
  <si>
    <t>奔驰E级</t>
  </si>
  <si>
    <t>蔚来ES8</t>
  </si>
  <si>
    <t>小鹏X9</t>
  </si>
  <si>
    <t>宝马3系</t>
  </si>
  <si>
    <t>星越L</t>
  </si>
  <si>
    <t>传祺E8</t>
  </si>
  <si>
    <t>海鸥</t>
  </si>
  <si>
    <t>深蓝S05</t>
  </si>
  <si>
    <t>传祺M6</t>
  </si>
  <si>
    <t>累计份额</t>
  </si>
  <si>
    <t>丰田RAV4</t>
  </si>
  <si>
    <t>速腾</t>
  </si>
  <si>
    <t>零跑C10</t>
  </si>
  <si>
    <t>至境世家</t>
  </si>
  <si>
    <t>帕萨特</t>
  </si>
  <si>
    <t>小米YU7</t>
  </si>
  <si>
    <t>星瑞</t>
  </si>
  <si>
    <t>探岳</t>
  </si>
  <si>
    <t>途观L</t>
  </si>
  <si>
    <t>库斯途</t>
  </si>
  <si>
    <t>逸动</t>
  </si>
  <si>
    <t>二月无车型级别页</t>
  </si>
  <si>
    <t>左图</t>
  </si>
  <si>
    <t>总计</t>
  </si>
  <si>
    <t>左图（当月）</t>
  </si>
  <si>
    <t>份额变化</t>
  </si>
  <si>
    <t>右图（累计）</t>
  </si>
  <si>
    <t>博越L</t>
  </si>
  <si>
    <t>瑞虎8</t>
  </si>
  <si>
    <t>艾瑞泽8</t>
  </si>
  <si>
    <t>帝豪</t>
  </si>
  <si>
    <t>长安CS75 PLUS</t>
  </si>
  <si>
    <t>朗逸</t>
  </si>
  <si>
    <t>红旗H5</t>
  </si>
  <si>
    <t>奥迪A6L</t>
  </si>
  <si>
    <t>本田CR-V</t>
  </si>
  <si>
    <t>亚洲龙</t>
  </si>
  <si>
    <t>哈弗大狗</t>
  </si>
  <si>
    <t>一月无车型级别页</t>
  </si>
  <si>
    <t>累计同比</t>
  </si>
  <si>
    <t>问界M7</t>
  </si>
  <si>
    <t>宝马5系</t>
  </si>
  <si>
    <t>奥迪Q5L</t>
  </si>
  <si>
    <t>智界V9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</si>
</sst>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%"/>
    <numFmt numFmtId="179" formatCode="0.0"/>
    <numFmt numFmtId="180" formatCode="0.0000"/>
  </numFmts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/>
    <xf numFmtId="1" fontId="0" fillId="0" borderId="0" xfId="0" applyNumberFormat="1" applyAlignment="1"/>
    <xf numFmtId="1" fontId="0" fillId="0" borderId="0" xfId="0" applyNumberFormat="1">
      <alignment vertical="center"/>
    </xf>
    <xf numFmtId="178" fontId="0" fillId="0" borderId="0" xfId="0" applyNumberFormat="1" applyAlignment="1"/>
    <xf numFmtId="178" fontId="0" fillId="0" borderId="0" xfId="0" applyNumberFormat="1">
      <alignment vertical="center"/>
    </xf>
    <xf numFmtId="178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179" fontId="0" fillId="0" borderId="0" xfId="0" applyNumberFormat="1" applyAlignment="1"/>
    <xf numFmtId="179" fontId="0" fillId="0" borderId="0" xfId="0" applyNumberFormat="1">
      <alignment vertical="center"/>
    </xf>
    <xf numFmtId="178" fontId="0" fillId="0" borderId="0" xfId="0" applyNumberFormat="1" applyAlignment="1">
      <alignment horizontal="center"/>
    </xf>
    <xf numFmtId="180" fontId="0" fillId="0" borderId="0" xfId="0" applyNumberFormat="1">
      <alignment vertical="center"/>
    </xf>
    <xf numFmtId="180" fontId="0" fillId="0" borderId="0" xfId="0" applyNumberForma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4" borderId="0" xfId="0" applyNumberFormat="1" applyFill="1" applyAlignme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E16E-BFF5-4912-9CF3-E6451DF5D223}">
  <sheetPr>
    <tabColor rgb="FFFFFF00"/>
  </sheetPr>
  <dimension ref="A1:AT35"/>
  <sheetViews>
    <sheetView tabSelected="1" workbookViewId="0">
      <selection activeCell="AU15" sqref="AU15"/>
    </sheetView>
  </sheetViews>
  <sheetFormatPr defaultColWidth="9" defaultRowHeight="14" x14ac:dyDescent="0.3"/>
  <cols>
    <col min="5" max="5" width="12.33203125" bestFit="1" customWidth="1"/>
  </cols>
  <sheetData>
    <row r="1" spans="1:46" x14ac:dyDescent="0.3">
      <c r="A1" s="16" t="s">
        <v>0</v>
      </c>
      <c r="B1" s="17"/>
      <c r="C1" s="17"/>
      <c r="D1" s="17"/>
      <c r="E1" s="17"/>
      <c r="H1" s="16" t="s">
        <v>1</v>
      </c>
      <c r="I1" s="16"/>
      <c r="J1" s="16"/>
      <c r="K1" s="16"/>
      <c r="L1" s="16"/>
      <c r="M1" s="16"/>
      <c r="P1" s="16" t="s">
        <v>2</v>
      </c>
      <c r="Q1" s="16"/>
      <c r="R1" s="16"/>
      <c r="S1" s="16"/>
      <c r="T1" s="16"/>
      <c r="U1" s="16"/>
      <c r="V1" s="16"/>
      <c r="W1" s="16"/>
      <c r="X1" s="16"/>
      <c r="AA1" s="16" t="s">
        <v>3</v>
      </c>
      <c r="AB1" s="17"/>
      <c r="AC1" s="17"/>
      <c r="AD1" s="17"/>
      <c r="AE1" s="17"/>
      <c r="AF1" s="16"/>
      <c r="AG1" s="17"/>
      <c r="AH1" s="17"/>
      <c r="AI1" s="17"/>
      <c r="AL1" s="16" t="s">
        <v>4</v>
      </c>
      <c r="AM1" s="16"/>
      <c r="AN1" s="16"/>
      <c r="AO1" s="16"/>
      <c r="AP1" s="16"/>
      <c r="AQ1" s="16"/>
      <c r="AR1" s="16"/>
      <c r="AS1" s="16"/>
      <c r="AT1" s="16"/>
    </row>
    <row r="2" spans="1:46" x14ac:dyDescent="0.3">
      <c r="A2" s="17"/>
      <c r="B2" s="17"/>
      <c r="C2" s="17"/>
      <c r="D2" s="17"/>
      <c r="E2" s="17"/>
      <c r="H2" s="16"/>
      <c r="I2" s="16"/>
      <c r="J2" s="16"/>
      <c r="K2" s="16"/>
      <c r="L2" s="16"/>
      <c r="M2" s="16"/>
      <c r="P2" s="16"/>
      <c r="Q2" s="16"/>
      <c r="R2" s="16"/>
      <c r="S2" s="16"/>
      <c r="T2" s="16"/>
      <c r="U2" s="16"/>
      <c r="V2" s="16"/>
      <c r="W2" s="16"/>
      <c r="X2" s="16"/>
      <c r="AA2" s="17"/>
      <c r="AB2" s="17"/>
      <c r="AC2" s="17"/>
      <c r="AD2" s="17"/>
      <c r="AE2" s="17"/>
      <c r="AF2" s="17"/>
      <c r="AG2" s="17"/>
      <c r="AH2" s="17"/>
      <c r="AI2" s="17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3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H3" s="1" t="s">
        <v>5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P3" s="1" t="s">
        <v>5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3"/>
      <c r="W3" s="3"/>
      <c r="X3" s="3"/>
      <c r="AA3" s="1" t="s">
        <v>5</v>
      </c>
      <c r="AB3" s="2" t="s">
        <v>11</v>
      </c>
      <c r="AC3" s="2" t="s">
        <v>12</v>
      </c>
      <c r="AD3" s="2" t="s">
        <v>13</v>
      </c>
      <c r="AE3" s="2" t="s">
        <v>14</v>
      </c>
      <c r="AL3" s="1" t="s">
        <v>5</v>
      </c>
      <c r="AM3" s="2" t="s">
        <v>11</v>
      </c>
      <c r="AN3" s="2" t="s">
        <v>12</v>
      </c>
      <c r="AO3" s="2" t="s">
        <v>13</v>
      </c>
      <c r="AP3" s="3"/>
      <c r="AQ3" s="3"/>
      <c r="AR3" s="3"/>
      <c r="AS3" s="3"/>
      <c r="AT3" s="3"/>
    </row>
    <row r="4" spans="1:46" x14ac:dyDescent="0.3">
      <c r="A4" s="1">
        <v>2025</v>
      </c>
      <c r="B4" s="3">
        <v>973963</v>
      </c>
      <c r="C4" s="3">
        <v>1066977</v>
      </c>
      <c r="D4" s="3">
        <v>108309</v>
      </c>
      <c r="E4" s="3">
        <v>15728</v>
      </c>
      <c r="H4" s="1">
        <v>2025</v>
      </c>
      <c r="I4" s="3">
        <v>81580</v>
      </c>
      <c r="J4" s="3">
        <v>198219</v>
      </c>
      <c r="K4" s="3">
        <v>803735</v>
      </c>
      <c r="L4" s="3">
        <v>821318</v>
      </c>
      <c r="M4" s="3">
        <v>260125</v>
      </c>
      <c r="P4" s="1">
        <v>2025</v>
      </c>
      <c r="Q4" s="3">
        <v>81580</v>
      </c>
      <c r="R4" s="3">
        <v>121629</v>
      </c>
      <c r="S4" s="3">
        <v>308146</v>
      </c>
      <c r="T4" s="3">
        <v>334169</v>
      </c>
      <c r="U4" s="3">
        <v>128439</v>
      </c>
      <c r="V4" s="3"/>
      <c r="W4" s="3"/>
      <c r="X4" s="3"/>
      <c r="AA4" s="1">
        <v>2025</v>
      </c>
      <c r="AB4" s="3">
        <v>54760</v>
      </c>
      <c r="AC4" s="3">
        <v>488477</v>
      </c>
      <c r="AD4" s="3">
        <v>407782</v>
      </c>
      <c r="AE4" s="3">
        <v>115958</v>
      </c>
      <c r="AL4" s="1">
        <v>2025</v>
      </c>
      <c r="AM4" s="3">
        <v>21830</v>
      </c>
      <c r="AN4" s="3">
        <v>7112</v>
      </c>
      <c r="AO4" s="3">
        <v>79367</v>
      </c>
      <c r="AP4" s="3"/>
      <c r="AQ4" s="3"/>
      <c r="AR4" s="3"/>
      <c r="AS4" s="3"/>
      <c r="AT4" s="3"/>
    </row>
    <row r="5" spans="1:46" x14ac:dyDescent="0.3">
      <c r="A5" s="1">
        <v>2026</v>
      </c>
      <c r="B5" s="3">
        <v>683574</v>
      </c>
      <c r="C5" s="3">
        <v>932123</v>
      </c>
      <c r="D5" s="3">
        <v>77313</v>
      </c>
      <c r="E5" s="3">
        <v>9169</v>
      </c>
      <c r="H5" s="1">
        <v>2026</v>
      </c>
      <c r="I5" s="3">
        <v>28073</v>
      </c>
      <c r="J5" s="3">
        <v>178822</v>
      </c>
      <c r="K5" s="3">
        <v>571377</v>
      </c>
      <c r="L5" s="3">
        <v>656033</v>
      </c>
      <c r="M5" s="3">
        <v>267874</v>
      </c>
      <c r="P5" s="1">
        <v>2026</v>
      </c>
      <c r="Q5" s="3">
        <v>28073</v>
      </c>
      <c r="R5" s="3">
        <v>101577</v>
      </c>
      <c r="S5" s="3">
        <v>196105</v>
      </c>
      <c r="T5" s="3">
        <v>251559</v>
      </c>
      <c r="U5" s="3">
        <v>106260</v>
      </c>
      <c r="V5" s="3"/>
      <c r="W5" s="3"/>
      <c r="X5" s="3"/>
      <c r="AA5" s="1">
        <v>2026</v>
      </c>
      <c r="AB5" s="3">
        <v>68340</v>
      </c>
      <c r="AC5" s="3">
        <v>366824</v>
      </c>
      <c r="AD5" s="3">
        <v>344514</v>
      </c>
      <c r="AE5" s="3">
        <v>152445</v>
      </c>
      <c r="AL5" s="1">
        <v>2026</v>
      </c>
      <c r="AM5" s="3">
        <v>8905</v>
      </c>
      <c r="AN5" s="3">
        <v>8448</v>
      </c>
      <c r="AO5" s="3">
        <v>59960</v>
      </c>
      <c r="AP5" s="3"/>
      <c r="AQ5" s="3"/>
      <c r="AR5" s="3"/>
      <c r="AS5" s="3"/>
      <c r="AT5" s="3"/>
    </row>
    <row r="6" spans="1:46" x14ac:dyDescent="0.3">
      <c r="A6" s="1" t="s">
        <v>15</v>
      </c>
      <c r="B6" s="6">
        <f>B5/B4-1</f>
        <v>-0.2981519831862196</v>
      </c>
      <c r="C6" s="6">
        <f t="shared" ref="C6:E6" si="0">C5/C4-1</f>
        <v>-0.12638885374286424</v>
      </c>
      <c r="D6" s="6">
        <f t="shared" si="0"/>
        <v>-0.28618120377807943</v>
      </c>
      <c r="E6" s="6">
        <f t="shared" si="0"/>
        <v>-0.41702695829094605</v>
      </c>
      <c r="H6" s="1" t="s">
        <v>15</v>
      </c>
      <c r="I6" s="6">
        <f>I5/I4-1</f>
        <v>-0.65588379504780581</v>
      </c>
      <c r="J6" s="6">
        <f t="shared" ref="J6" si="1">J5/J4-1</f>
        <v>-9.7856411343009486E-2</v>
      </c>
      <c r="K6" s="6">
        <f t="shared" ref="K6" si="2">K5/K4-1</f>
        <v>-0.28909777476407028</v>
      </c>
      <c r="L6" s="6">
        <f t="shared" ref="L6:M6" si="3">L5/L4-1</f>
        <v>-0.20124361087909926</v>
      </c>
      <c r="M6" s="6">
        <f t="shared" si="3"/>
        <v>2.978952426717929E-2</v>
      </c>
      <c r="P6" s="1" t="s">
        <v>15</v>
      </c>
      <c r="Q6" s="6">
        <f>Q5/Q4-1</f>
        <v>-0.65588379504780581</v>
      </c>
      <c r="R6" s="6">
        <f t="shared" ref="R6:U6" si="4">R5/R4-1</f>
        <v>-0.16486199837209881</v>
      </c>
      <c r="S6" s="6">
        <f t="shared" si="4"/>
        <v>-0.36359712603765748</v>
      </c>
      <c r="T6" s="6">
        <f t="shared" si="4"/>
        <v>-0.24721024391849633</v>
      </c>
      <c r="U6" s="6">
        <f t="shared" si="4"/>
        <v>-0.17268119496414636</v>
      </c>
      <c r="V6" s="3"/>
      <c r="W6" s="3"/>
      <c r="X6" s="3"/>
      <c r="AA6" s="1" t="s">
        <v>15</v>
      </c>
      <c r="AB6" s="6">
        <f t="shared" ref="AB6" si="5">AB5/AB4-1</f>
        <v>0.24799123447772087</v>
      </c>
      <c r="AC6" s="6">
        <f t="shared" ref="AC6" si="6">AC5/AC4-1</f>
        <v>-0.24904550265416792</v>
      </c>
      <c r="AD6" s="6">
        <f t="shared" ref="AD6" si="7">AD5/AD4-1</f>
        <v>-0.15515152704140933</v>
      </c>
      <c r="AE6" s="6">
        <f t="shared" ref="AE6" si="8">AE5/AE4-1</f>
        <v>0.31465703099398068</v>
      </c>
      <c r="AL6" s="1" t="s">
        <v>15</v>
      </c>
      <c r="AM6" s="6">
        <f t="shared" ref="AM6" si="9">AM5/AM4-1</f>
        <v>-0.59207512597343104</v>
      </c>
      <c r="AN6" s="6">
        <f t="shared" ref="AN6" si="10">AN5/AN4-1</f>
        <v>0.1878515185601799</v>
      </c>
      <c r="AO6" s="6">
        <f t="shared" ref="AO6" si="11">AO5/AO4-1</f>
        <v>-0.24452228256076203</v>
      </c>
      <c r="AP6" s="3"/>
      <c r="AQ6" s="3"/>
      <c r="AR6" s="3"/>
      <c r="AS6" s="3"/>
      <c r="AT6" s="3"/>
    </row>
    <row r="7" spans="1:46" x14ac:dyDescent="0.3">
      <c r="A7" s="1" t="s">
        <v>16</v>
      </c>
      <c r="B7" s="6">
        <v>0.11803796174385228</v>
      </c>
      <c r="C7" s="6">
        <v>0.13292211580533819</v>
      </c>
      <c r="D7" s="6">
        <v>0.15760552203273082</v>
      </c>
      <c r="E7" s="6">
        <v>-0.10099029316599661</v>
      </c>
      <c r="H7" s="1" t="s">
        <v>16</v>
      </c>
      <c r="I7" s="7">
        <v>-0.11855945241608845</v>
      </c>
      <c r="J7" s="7">
        <v>-4.2482308354485632E-4</v>
      </c>
      <c r="K7" s="7">
        <v>0.17162038299626192</v>
      </c>
      <c r="L7" s="7">
        <v>0.1320067433838743</v>
      </c>
      <c r="M7" s="7">
        <v>0.1487272290644619</v>
      </c>
      <c r="P7" s="1" t="s">
        <v>16</v>
      </c>
      <c r="Q7" s="6">
        <v>-0.11855945241608845</v>
      </c>
      <c r="R7" s="6">
        <v>-3.1483900494855943E-2</v>
      </c>
      <c r="S7" s="6">
        <v>0.13434173993521514</v>
      </c>
      <c r="T7" s="6">
        <v>0.23100223632635686</v>
      </c>
      <c r="U7" s="6">
        <v>9.0472476499322774E-2</v>
      </c>
      <c r="V7" s="3"/>
      <c r="W7" s="3"/>
      <c r="X7" s="3"/>
      <c r="AA7" s="1" t="s">
        <v>16</v>
      </c>
      <c r="AB7" s="7">
        <v>5.2680221811460148E-2</v>
      </c>
      <c r="AC7" s="7">
        <v>0.19143960530461257</v>
      </c>
      <c r="AD7" s="7">
        <v>6.1977509802470854E-2</v>
      </c>
      <c r="AE7" s="7">
        <v>0.21422711451305854</v>
      </c>
      <c r="AL7" s="1" t="s">
        <v>16</v>
      </c>
      <c r="AM7" s="6">
        <v>-2.1321024288383339E-2</v>
      </c>
      <c r="AN7" s="6">
        <v>0.22116218560277545</v>
      </c>
      <c r="AO7" s="6">
        <v>0.18101240890289549</v>
      </c>
      <c r="AP7" s="3"/>
      <c r="AQ7" s="3"/>
      <c r="AR7" s="3"/>
      <c r="AS7" s="3"/>
      <c r="AT7" s="3"/>
    </row>
    <row r="8" spans="1:46" x14ac:dyDescent="0.3">
      <c r="A8" s="9"/>
      <c r="B8" s="3"/>
      <c r="C8" s="3"/>
      <c r="D8" s="3"/>
      <c r="E8" s="3"/>
      <c r="P8" s="9" t="s">
        <v>17</v>
      </c>
      <c r="Q8" s="6">
        <v>4.1067975083897278E-2</v>
      </c>
      <c r="R8" s="6">
        <v>0.14859693317768083</v>
      </c>
      <c r="S8" s="6">
        <v>0.28688188842758794</v>
      </c>
      <c r="T8" s="6">
        <v>0.36800551220496974</v>
      </c>
      <c r="U8" s="6">
        <v>0.15544769110586418</v>
      </c>
      <c r="V8" s="3"/>
      <c r="W8" s="3"/>
      <c r="X8" s="3"/>
      <c r="AA8" s="1" t="s">
        <v>17</v>
      </c>
      <c r="AB8" s="7">
        <v>7.3316504366912949E-2</v>
      </c>
      <c r="AC8" s="7">
        <v>0.39353604620849392</v>
      </c>
      <c r="AD8" s="7">
        <v>0.36960143672026119</v>
      </c>
      <c r="AE8" s="7">
        <v>0.16354601270433194</v>
      </c>
      <c r="AL8" s="1" t="s">
        <v>17</v>
      </c>
      <c r="AM8" s="18">
        <v>0.11518114676703789</v>
      </c>
      <c r="AN8" s="18">
        <v>0.10927010981335609</v>
      </c>
      <c r="AO8" s="18">
        <v>0.775548743419606</v>
      </c>
      <c r="AP8" s="3"/>
      <c r="AQ8" s="3"/>
      <c r="AR8" s="3"/>
      <c r="AS8" s="3"/>
      <c r="AT8" s="3"/>
    </row>
    <row r="9" spans="1:46" x14ac:dyDescent="0.3">
      <c r="A9" s="1" t="s">
        <v>18</v>
      </c>
      <c r="B9" s="2" t="s">
        <v>6</v>
      </c>
      <c r="C9" s="2" t="s">
        <v>7</v>
      </c>
      <c r="D9" s="2" t="s">
        <v>8</v>
      </c>
      <c r="E9" s="2" t="s">
        <v>9</v>
      </c>
      <c r="H9" s="1" t="s">
        <v>18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P9" s="3"/>
      <c r="Q9" s="3"/>
      <c r="R9" s="3"/>
      <c r="S9" s="3"/>
      <c r="T9" s="3"/>
      <c r="U9" s="3"/>
      <c r="V9" s="3"/>
      <c r="W9" s="3"/>
      <c r="X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>
        <v>2025</v>
      </c>
      <c r="B10" s="3">
        <v>4982165</v>
      </c>
      <c r="C10" s="3">
        <v>5223579</v>
      </c>
      <c r="D10" s="3">
        <v>557698</v>
      </c>
      <c r="E10" s="3">
        <v>89904</v>
      </c>
      <c r="H10" s="1">
        <v>2025</v>
      </c>
      <c r="I10" s="3">
        <v>425453</v>
      </c>
      <c r="J10" s="3">
        <v>989858</v>
      </c>
      <c r="K10" s="3">
        <v>4050598</v>
      </c>
      <c r="L10" s="3">
        <v>4100440</v>
      </c>
      <c r="M10" s="3">
        <v>1286997</v>
      </c>
      <c r="P10" s="1" t="s">
        <v>18</v>
      </c>
      <c r="Q10" s="2" t="s">
        <v>10</v>
      </c>
      <c r="R10" s="2" t="s">
        <v>11</v>
      </c>
      <c r="S10" s="2" t="s">
        <v>12</v>
      </c>
      <c r="T10" s="2" t="s">
        <v>13</v>
      </c>
      <c r="U10" s="2" t="s">
        <v>14</v>
      </c>
      <c r="V10" s="3"/>
      <c r="W10" s="3"/>
      <c r="X10" s="3"/>
      <c r="AA10" s="1" t="s">
        <v>18</v>
      </c>
      <c r="AB10" s="2" t="s">
        <v>11</v>
      </c>
      <c r="AC10" s="2" t="s">
        <v>12</v>
      </c>
      <c r="AD10" s="2" t="s">
        <v>13</v>
      </c>
      <c r="AE10" s="2" t="s">
        <v>14</v>
      </c>
      <c r="AL10" s="1" t="s">
        <v>18</v>
      </c>
      <c r="AM10" s="2" t="s">
        <v>11</v>
      </c>
      <c r="AN10" s="2" t="s">
        <v>12</v>
      </c>
      <c r="AO10" s="2" t="s">
        <v>13</v>
      </c>
      <c r="AP10" s="3"/>
      <c r="AQ10" s="3"/>
      <c r="AR10" s="3"/>
      <c r="AS10" s="3"/>
      <c r="AT10" s="3"/>
    </row>
    <row r="11" spans="1:46" x14ac:dyDescent="0.3">
      <c r="A11" s="1">
        <v>2026</v>
      </c>
      <c r="B11" s="3">
        <v>3581822</v>
      </c>
      <c r="C11" s="3">
        <v>4741249</v>
      </c>
      <c r="D11" s="3">
        <v>422885</v>
      </c>
      <c r="E11" s="3">
        <v>52221</v>
      </c>
      <c r="H11" s="1">
        <v>2026</v>
      </c>
      <c r="I11" s="3">
        <v>147252</v>
      </c>
      <c r="J11" s="3">
        <v>837154</v>
      </c>
      <c r="K11" s="3">
        <v>3081899</v>
      </c>
      <c r="L11" s="3">
        <v>3402775</v>
      </c>
      <c r="M11" s="3">
        <v>1329097</v>
      </c>
      <c r="P11" s="1">
        <v>2025</v>
      </c>
      <c r="Q11" s="3">
        <v>425453</v>
      </c>
      <c r="R11" s="3">
        <v>589928</v>
      </c>
      <c r="S11" s="3">
        <v>1617211</v>
      </c>
      <c r="T11" s="3">
        <v>1673596</v>
      </c>
      <c r="U11" s="3">
        <v>675977</v>
      </c>
      <c r="V11" s="3"/>
      <c r="W11" s="3"/>
      <c r="X11" s="3"/>
      <c r="AA11" s="1">
        <v>2025</v>
      </c>
      <c r="AB11" s="3">
        <v>278174</v>
      </c>
      <c r="AC11" s="3">
        <v>2391786</v>
      </c>
      <c r="AD11" s="3">
        <v>2032505</v>
      </c>
      <c r="AE11" s="3">
        <v>521114</v>
      </c>
      <c r="AL11" s="1">
        <v>2025</v>
      </c>
      <c r="AM11" s="3">
        <v>121756</v>
      </c>
      <c r="AN11" s="3">
        <v>41601</v>
      </c>
      <c r="AO11" s="3">
        <v>394339</v>
      </c>
      <c r="AP11" s="3"/>
      <c r="AQ11" s="3"/>
      <c r="AR11" s="3"/>
      <c r="AS11" s="3"/>
      <c r="AT11" s="3"/>
    </row>
    <row r="12" spans="1:46" x14ac:dyDescent="0.3">
      <c r="A12" s="1" t="s">
        <v>15</v>
      </c>
      <c r="B12" s="6">
        <f>B11/B10-1</f>
        <v>-0.28107118090227845</v>
      </c>
      <c r="C12" s="6">
        <f t="shared" ref="C12" si="12">C11/C10-1</f>
        <v>-9.2337073872147846E-2</v>
      </c>
      <c r="D12" s="6">
        <f t="shared" ref="D12" si="13">D11/D10-1</f>
        <v>-0.24173118784718606</v>
      </c>
      <c r="E12" s="6">
        <f t="shared" ref="E12" si="14">E11/E10-1</f>
        <v>-0.41914709022957819</v>
      </c>
      <c r="H12" s="1" t="s">
        <v>15</v>
      </c>
      <c r="I12" s="6">
        <f>I11/I10-1</f>
        <v>-0.65389361457082218</v>
      </c>
      <c r="J12" s="6">
        <f t="shared" ref="J12" si="15">J11/J10-1</f>
        <v>-0.15426859206067944</v>
      </c>
      <c r="K12" s="6">
        <f t="shared" ref="K12" si="16">K11/K10-1</f>
        <v>-0.23914962679584595</v>
      </c>
      <c r="L12" s="6">
        <f t="shared" ref="L12" si="17">L11/L10-1</f>
        <v>-0.17014393577274634</v>
      </c>
      <c r="M12" s="6">
        <f t="shared" ref="M12" si="18">M11/M10-1</f>
        <v>3.2711808963035605E-2</v>
      </c>
      <c r="P12" s="1">
        <v>2026</v>
      </c>
      <c r="Q12" s="3">
        <v>147252</v>
      </c>
      <c r="R12" s="3">
        <v>490347</v>
      </c>
      <c r="S12" s="3">
        <v>1138900</v>
      </c>
      <c r="T12" s="3">
        <v>1272374</v>
      </c>
      <c r="U12" s="3">
        <v>532949</v>
      </c>
      <c r="V12" s="3"/>
      <c r="W12" s="3"/>
      <c r="X12" s="3"/>
      <c r="AA12" s="1">
        <v>2026</v>
      </c>
      <c r="AB12" s="3">
        <v>290829</v>
      </c>
      <c r="AC12" s="3">
        <v>1891087</v>
      </c>
      <c r="AD12" s="3">
        <v>1815407</v>
      </c>
      <c r="AE12" s="3">
        <v>743926</v>
      </c>
      <c r="AL12" s="1">
        <v>2026</v>
      </c>
      <c r="AM12" s="3">
        <v>55978</v>
      </c>
      <c r="AN12" s="3">
        <v>51912</v>
      </c>
      <c r="AO12" s="3">
        <v>314994</v>
      </c>
      <c r="AP12" s="3"/>
      <c r="AQ12" s="3"/>
      <c r="AR12" s="3"/>
      <c r="AS12" s="3"/>
      <c r="AT12" s="3"/>
    </row>
    <row r="13" spans="1:46" x14ac:dyDescent="0.3">
      <c r="A13" s="9"/>
      <c r="B13" s="3"/>
      <c r="C13" s="3"/>
      <c r="D13" s="3"/>
      <c r="E13" s="3"/>
      <c r="P13" s="1" t="s">
        <v>15</v>
      </c>
      <c r="Q13" s="6">
        <f>Q12/Q11-1</f>
        <v>-0.65389361457082218</v>
      </c>
      <c r="R13" s="6">
        <f t="shared" ref="R13" si="19">R12/R11-1</f>
        <v>-0.16880195549287369</v>
      </c>
      <c r="S13" s="6">
        <f t="shared" ref="S13" si="20">S12/S11-1</f>
        <v>-0.29576289055664351</v>
      </c>
      <c r="T13" s="6">
        <f t="shared" ref="T13" si="21">T12/T11-1</f>
        <v>-0.23973647164548673</v>
      </c>
      <c r="U13" s="6">
        <f t="shared" ref="U13" si="22">U12/U11-1</f>
        <v>-0.21158708062552423</v>
      </c>
      <c r="V13" s="3"/>
      <c r="W13" s="3"/>
      <c r="X13" s="3"/>
      <c r="AA13" s="1" t="s">
        <v>15</v>
      </c>
      <c r="AB13" s="6">
        <f t="shared" ref="AB13" si="23">AB12/AB11-1</f>
        <v>4.5493108629850454E-2</v>
      </c>
      <c r="AC13" s="6">
        <f t="shared" ref="AC13" si="24">AC12/AC11-1</f>
        <v>-0.20934105308752537</v>
      </c>
      <c r="AD13" s="6">
        <f t="shared" ref="AD13" si="25">AD12/AD11-1</f>
        <v>-0.10681302137018112</v>
      </c>
      <c r="AE13" s="6">
        <f t="shared" ref="AE13" si="26">AE12/AE11-1</f>
        <v>0.42756863181568727</v>
      </c>
      <c r="AL13" s="1" t="s">
        <v>15</v>
      </c>
      <c r="AM13" s="6">
        <f t="shared" ref="AM13" si="27">AM12/AM11-1</f>
        <v>-0.540244423272775</v>
      </c>
      <c r="AN13" s="6">
        <f t="shared" ref="AN13" si="28">AN12/AN11-1</f>
        <v>0.24785461887935378</v>
      </c>
      <c r="AO13" s="6">
        <f t="shared" ref="AO13" si="29">AO12/AO11-1</f>
        <v>-0.20121012631263968</v>
      </c>
      <c r="AP13" s="3"/>
      <c r="AQ13" s="3"/>
      <c r="AR13" s="3"/>
      <c r="AS13" s="3"/>
      <c r="AT13" s="3"/>
    </row>
    <row r="14" spans="1:46" x14ac:dyDescent="0.3">
      <c r="A14" s="1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H14" s="1" t="s">
        <v>19</v>
      </c>
      <c r="P14" s="1" t="s">
        <v>17</v>
      </c>
      <c r="Q14" s="18">
        <v>4.1110920643181038E-2</v>
      </c>
      <c r="R14" s="18">
        <v>0.13689876269675041</v>
      </c>
      <c r="S14" s="18">
        <v>0.31796666612690411</v>
      </c>
      <c r="T14" s="18">
        <v>0.35523094112437748</v>
      </c>
      <c r="U14" s="18">
        <v>0.14879270940878692</v>
      </c>
      <c r="V14" s="3"/>
      <c r="W14" s="3"/>
      <c r="X14" s="3"/>
      <c r="AA14" s="1" t="s">
        <v>17</v>
      </c>
      <c r="AB14" s="18">
        <v>6.1340165850812728E-2</v>
      </c>
      <c r="AC14" s="18">
        <v>0.3988584020792833</v>
      </c>
      <c r="AD14" s="18">
        <v>0.38289636338441624</v>
      </c>
      <c r="AE14" s="18">
        <v>0.15690506868548773</v>
      </c>
      <c r="AL14" s="1" t="s">
        <v>17</v>
      </c>
      <c r="AM14" s="18">
        <v>0.13237168497345614</v>
      </c>
      <c r="AN14" s="18">
        <v>0.12275677784740532</v>
      </c>
      <c r="AO14" s="18">
        <v>0.74486917247005691</v>
      </c>
      <c r="AP14" s="3"/>
      <c r="AQ14" s="3"/>
      <c r="AR14" s="3"/>
      <c r="AS14" s="3"/>
      <c r="AT14" s="3"/>
    </row>
    <row r="15" spans="1:46" x14ac:dyDescent="0.3">
      <c r="A15" s="1" t="s">
        <v>6</v>
      </c>
      <c r="B15" s="6">
        <v>0.40459556986694251</v>
      </c>
      <c r="C15" s="6">
        <v>0.40158761211364963</v>
      </c>
      <c r="D15" s="6">
        <v>0.45594995123130322</v>
      </c>
      <c r="E15" s="6">
        <v>0.40710956371984786</v>
      </c>
      <c r="H15" s="1" t="s">
        <v>24</v>
      </c>
      <c r="I15" s="2" t="s">
        <v>20</v>
      </c>
      <c r="J15" s="2" t="s">
        <v>21</v>
      </c>
      <c r="K15" s="2" t="s">
        <v>22</v>
      </c>
      <c r="L15" s="2" t="s">
        <v>23</v>
      </c>
      <c r="P15" s="3"/>
      <c r="Q15" s="3"/>
      <c r="R15" s="3"/>
      <c r="S15" s="3"/>
      <c r="T15" s="3"/>
      <c r="U15" s="3"/>
      <c r="V15" s="3"/>
      <c r="W15" s="3"/>
      <c r="X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3">
      <c r="A16" s="1" t="s">
        <v>7</v>
      </c>
      <c r="B16" s="10">
        <v>0.54445915729136263</v>
      </c>
      <c r="C16" s="10">
        <v>0.54760574534170614</v>
      </c>
      <c r="D16" s="10">
        <v>0.48850778001147299</v>
      </c>
      <c r="E16" s="10">
        <v>0.53888993140283492</v>
      </c>
      <c r="H16" s="1" t="s">
        <v>10</v>
      </c>
      <c r="I16" s="7">
        <v>2.1075987773558038E-2</v>
      </c>
      <c r="J16" s="7">
        <v>1.649239004828517E-2</v>
      </c>
      <c r="K16" s="7">
        <v>4.2087300222821027E-2</v>
      </c>
      <c r="L16" s="7">
        <v>1.6736648967166722E-2</v>
      </c>
      <c r="P16" s="1" t="s">
        <v>19</v>
      </c>
      <c r="Q16" s="3"/>
      <c r="R16" s="3"/>
      <c r="S16" s="3"/>
      <c r="T16" s="3"/>
      <c r="U16" s="3"/>
      <c r="V16" s="3"/>
      <c r="W16" s="3"/>
      <c r="X16" s="3"/>
      <c r="AA16" s="1" t="s">
        <v>19</v>
      </c>
      <c r="AL16" s="1" t="s">
        <v>19</v>
      </c>
      <c r="AM16" s="3"/>
      <c r="AN16" s="3"/>
      <c r="AO16" s="3"/>
      <c r="AP16" s="3"/>
      <c r="AQ16" s="3"/>
      <c r="AR16" s="3"/>
      <c r="AS16" s="3"/>
      <c r="AT16" s="3"/>
    </row>
    <row r="17" spans="1:46" x14ac:dyDescent="0.3">
      <c r="A17" s="1" t="s">
        <v>8</v>
      </c>
      <c r="B17" s="6">
        <v>4.4196112764376294E-2</v>
      </c>
      <c r="C17" s="6">
        <v>4.5420017518721593E-2</v>
      </c>
      <c r="D17" s="6">
        <v>4.8379866443561938E-2</v>
      </c>
      <c r="E17" s="6">
        <v>4.8065070752725252E-2</v>
      </c>
      <c r="H17" s="1" t="s">
        <v>11</v>
      </c>
      <c r="I17" s="7">
        <v>0.11838525733033958</v>
      </c>
      <c r="J17" s="7">
        <v>0.10505475628591353</v>
      </c>
      <c r="K17" s="7">
        <v>9.2473917683886922E-2</v>
      </c>
      <c r="L17" s="7">
        <v>9.515084772675067E-2</v>
      </c>
      <c r="P17" s="3"/>
      <c r="Q17" s="1" t="s">
        <v>25</v>
      </c>
      <c r="R17" s="1" t="s">
        <v>26</v>
      </c>
      <c r="S17" s="1" t="s">
        <v>15</v>
      </c>
      <c r="T17" s="1" t="s">
        <v>16</v>
      </c>
      <c r="U17" s="1" t="s">
        <v>27</v>
      </c>
      <c r="V17" s="1" t="s">
        <v>17</v>
      </c>
      <c r="W17" s="1" t="s">
        <v>28</v>
      </c>
      <c r="X17" s="1" t="s">
        <v>29</v>
      </c>
      <c r="AB17" s="1" t="s">
        <v>25</v>
      </c>
      <c r="AC17" s="1" t="s">
        <v>26</v>
      </c>
      <c r="AD17" s="1" t="s">
        <v>15</v>
      </c>
      <c r="AE17" s="1" t="s">
        <v>16</v>
      </c>
      <c r="AF17" s="1" t="s">
        <v>27</v>
      </c>
      <c r="AG17" s="1" t="s">
        <v>17</v>
      </c>
      <c r="AH17" s="1" t="s">
        <v>28</v>
      </c>
      <c r="AI17" s="1" t="s">
        <v>29</v>
      </c>
      <c r="AL17" s="3"/>
      <c r="AM17" s="1" t="s">
        <v>25</v>
      </c>
      <c r="AN17" s="1" t="s">
        <v>26</v>
      </c>
      <c r="AO17" s="1" t="s">
        <v>15</v>
      </c>
      <c r="AP17" s="1" t="s">
        <v>16</v>
      </c>
      <c r="AQ17" s="1" t="s">
        <v>27</v>
      </c>
      <c r="AR17" s="1" t="s">
        <v>17</v>
      </c>
      <c r="AS17" s="1" t="s">
        <v>28</v>
      </c>
      <c r="AT17" s="1" t="s">
        <v>29</v>
      </c>
    </row>
    <row r="18" spans="1:46" x14ac:dyDescent="0.3">
      <c r="A18" s="1" t="s">
        <v>9</v>
      </c>
      <c r="B18" s="6">
        <v>6.7491600773185471E-3</v>
      </c>
      <c r="C18" s="6">
        <v>5.3866250259226554E-3</v>
      </c>
      <c r="D18" s="6">
        <v>7.1624023136618734E-3</v>
      </c>
      <c r="E18" s="6">
        <v>5.9354341245919469E-3</v>
      </c>
      <c r="H18" s="1" t="s">
        <v>12</v>
      </c>
      <c r="I18" s="7">
        <v>0.3227215546295506</v>
      </c>
      <c r="J18" s="7">
        <v>0.33567386273711519</v>
      </c>
      <c r="K18" s="7">
        <v>0.35781767316291807</v>
      </c>
      <c r="L18" s="7">
        <v>0.35028836087293991</v>
      </c>
      <c r="P18" s="3">
        <v>1</v>
      </c>
      <c r="Q18" s="3" t="s">
        <v>30</v>
      </c>
      <c r="R18" s="3">
        <v>33834</v>
      </c>
      <c r="S18" s="6">
        <v>-0.2111447889951038</v>
      </c>
      <c r="T18" s="6">
        <v>-0.11828629505120791</v>
      </c>
      <c r="U18" s="6" t="s">
        <v>11</v>
      </c>
      <c r="V18" s="6">
        <v>4.9495738574024173E-2</v>
      </c>
      <c r="W18" s="3">
        <v>0</v>
      </c>
      <c r="X18" s="11">
        <v>16.469100000000001</v>
      </c>
      <c r="AA18">
        <v>1</v>
      </c>
      <c r="AB18" s="19" t="s">
        <v>31</v>
      </c>
      <c r="AC18" s="3">
        <v>30490</v>
      </c>
      <c r="AD18" s="7">
        <v>-0.30710844468684662</v>
      </c>
      <c r="AE18" s="7">
        <v>0.21435399075991723</v>
      </c>
      <c r="AF18" s="7" t="s">
        <v>13</v>
      </c>
      <c r="AG18" s="7">
        <v>3.271027536065519E-2</v>
      </c>
      <c r="AH18">
        <v>0</v>
      </c>
      <c r="AI18" s="12">
        <v>14.093</v>
      </c>
      <c r="AL18" s="3">
        <v>1</v>
      </c>
      <c r="AM18" s="19" t="s">
        <v>48</v>
      </c>
      <c r="AN18" s="3">
        <v>6502</v>
      </c>
      <c r="AO18" s="6">
        <v>-0.21520820760410375</v>
      </c>
      <c r="AP18" s="6">
        <v>0.50161662817551966</v>
      </c>
      <c r="AQ18" s="6" t="s">
        <v>13</v>
      </c>
      <c r="AR18" s="6">
        <v>8.4099698627656413E-2</v>
      </c>
      <c r="AS18" s="3">
        <v>5</v>
      </c>
      <c r="AT18" s="11">
        <v>2.4758</v>
      </c>
    </row>
    <row r="19" spans="1:46" x14ac:dyDescent="0.3">
      <c r="H19" s="9" t="s">
        <v>13</v>
      </c>
      <c r="I19" s="7">
        <v>0.38350303841244193</v>
      </c>
      <c r="J19" s="7">
        <v>0.38540776263835941</v>
      </c>
      <c r="K19" s="7">
        <v>0.37728378785531785</v>
      </c>
      <c r="L19" s="7">
        <v>0.3867590979358565</v>
      </c>
      <c r="P19" s="3">
        <v>2</v>
      </c>
      <c r="Q19" s="3" t="s">
        <v>33</v>
      </c>
      <c r="R19" s="3">
        <v>20477</v>
      </c>
      <c r="S19" s="6">
        <v>-0.11824484347414199</v>
      </c>
      <c r="T19" s="6">
        <v>-0.14418857357796633</v>
      </c>
      <c r="U19" s="6" t="s">
        <v>34</v>
      </c>
      <c r="V19" s="6">
        <v>2.9955791179886889E-2</v>
      </c>
      <c r="W19" s="3">
        <v>0</v>
      </c>
      <c r="X19" s="11">
        <v>8.1184999999999992</v>
      </c>
      <c r="AA19">
        <v>2</v>
      </c>
      <c r="AB19" s="19" t="s">
        <v>35</v>
      </c>
      <c r="AC19" s="3">
        <v>25857</v>
      </c>
      <c r="AD19" s="7" t="e">
        <v>#DIV/0!</v>
      </c>
      <c r="AE19" s="7">
        <v>0.20646696528555442</v>
      </c>
      <c r="AF19" s="7" t="s">
        <v>11</v>
      </c>
      <c r="AG19" s="7">
        <v>2.7739901279123035E-2</v>
      </c>
      <c r="AH19">
        <v>0</v>
      </c>
      <c r="AI19" s="12">
        <v>5.8507999999999996</v>
      </c>
      <c r="AL19" s="3">
        <v>2</v>
      </c>
      <c r="AM19" s="19" t="s">
        <v>32</v>
      </c>
      <c r="AN19" s="3">
        <v>6374</v>
      </c>
      <c r="AO19" s="6">
        <v>-0.31166306695464363</v>
      </c>
      <c r="AP19" s="6">
        <v>-0.17242274733835372</v>
      </c>
      <c r="AQ19" s="6" t="s">
        <v>13</v>
      </c>
      <c r="AR19" s="6">
        <v>8.2444090903211614E-2</v>
      </c>
      <c r="AS19" s="3">
        <v>-1</v>
      </c>
      <c r="AT19" s="11">
        <v>4.1750999999999996</v>
      </c>
    </row>
    <row r="20" spans="1:46" x14ac:dyDescent="0.3">
      <c r="H20" s="1" t="s">
        <v>14</v>
      </c>
      <c r="I20" s="7">
        <v>0.15431416185410987</v>
      </c>
      <c r="J20" s="7">
        <v>0.15737122829032668</v>
      </c>
      <c r="K20" s="7">
        <v>0.13033732107505613</v>
      </c>
      <c r="L20" s="7">
        <v>0.15106504449728619</v>
      </c>
      <c r="P20" s="3">
        <v>3</v>
      </c>
      <c r="Q20" s="3" t="s">
        <v>49</v>
      </c>
      <c r="R20" s="3">
        <v>18342</v>
      </c>
      <c r="S20" s="6">
        <v>-0.17804167600268872</v>
      </c>
      <c r="T20" s="6">
        <v>0.44732896709539971</v>
      </c>
      <c r="U20" s="6" t="s">
        <v>13</v>
      </c>
      <c r="V20" s="6">
        <v>2.6832500943570117E-2</v>
      </c>
      <c r="W20" s="3">
        <v>4</v>
      </c>
      <c r="X20" s="11">
        <v>8.1036999999999999</v>
      </c>
      <c r="AA20">
        <v>3</v>
      </c>
      <c r="AB20" s="19" t="s">
        <v>38</v>
      </c>
      <c r="AC20" s="3">
        <v>21482</v>
      </c>
      <c r="AD20" s="7" t="e">
        <v>#DIV/0!</v>
      </c>
      <c r="AE20" s="7">
        <v>3.2391387927720006E-2</v>
      </c>
      <c r="AF20" s="7" t="s">
        <v>13</v>
      </c>
      <c r="AG20" s="7">
        <v>2.3046314703102488E-2</v>
      </c>
      <c r="AH20">
        <v>0</v>
      </c>
      <c r="AI20" s="12">
        <v>12.036</v>
      </c>
      <c r="AL20" s="3">
        <v>3</v>
      </c>
      <c r="AM20" s="19" t="s">
        <v>36</v>
      </c>
      <c r="AN20" s="3">
        <v>6196</v>
      </c>
      <c r="AO20" s="6">
        <v>-0.40100541376643462</v>
      </c>
      <c r="AP20" s="6">
        <v>0.19660100424874472</v>
      </c>
      <c r="AQ20" s="6" t="s">
        <v>13</v>
      </c>
      <c r="AR20" s="6">
        <v>8.0141761411405582E-2</v>
      </c>
      <c r="AS20" s="3">
        <v>-1</v>
      </c>
      <c r="AT20" s="11">
        <v>3.4632999999999998</v>
      </c>
    </row>
    <row r="21" spans="1:46" x14ac:dyDescent="0.3">
      <c r="P21" s="3">
        <v>4</v>
      </c>
      <c r="Q21" s="3" t="s">
        <v>81</v>
      </c>
      <c r="R21" s="3">
        <v>15251</v>
      </c>
      <c r="S21" s="6">
        <v>-0.30395691661722424</v>
      </c>
      <c r="T21" s="6">
        <v>0.76271382339343496</v>
      </c>
      <c r="U21" s="6" t="s">
        <v>13</v>
      </c>
      <c r="V21" s="6">
        <v>2.2310678873099329E-2</v>
      </c>
      <c r="W21" s="3">
        <v>13</v>
      </c>
      <c r="X21" s="11">
        <v>8.3960000000000008</v>
      </c>
      <c r="AA21">
        <v>4</v>
      </c>
      <c r="AB21" s="19" t="s">
        <v>59</v>
      </c>
      <c r="AC21" s="3">
        <v>19474</v>
      </c>
      <c r="AD21" s="7" t="e">
        <v>#DIV/0!</v>
      </c>
      <c r="AE21" s="7">
        <v>0.3622945085694298</v>
      </c>
      <c r="AF21" s="7" t="s">
        <v>13</v>
      </c>
      <c r="AG21" s="7">
        <v>2.0892092567182656E-2</v>
      </c>
      <c r="AH21">
        <v>6</v>
      </c>
      <c r="AI21" s="12">
        <v>8.9393999999999991</v>
      </c>
      <c r="AL21" s="3">
        <v>4</v>
      </c>
      <c r="AM21" s="19" t="s">
        <v>57</v>
      </c>
      <c r="AN21" s="3">
        <v>5154</v>
      </c>
      <c r="AO21" s="6">
        <v>-0.37888647866955893</v>
      </c>
      <c r="AP21" s="6">
        <v>0.34253711904141704</v>
      </c>
      <c r="AQ21" s="6" t="s">
        <v>13</v>
      </c>
      <c r="AR21" s="6">
        <v>6.6664079779597221E-2</v>
      </c>
      <c r="AS21" s="3">
        <v>5</v>
      </c>
      <c r="AT21" s="11">
        <v>2.3994</v>
      </c>
    </row>
    <row r="22" spans="1:46" x14ac:dyDescent="0.3">
      <c r="P22" s="3">
        <v>5</v>
      </c>
      <c r="Q22" s="3" t="s">
        <v>43</v>
      </c>
      <c r="R22" s="3">
        <v>14844</v>
      </c>
      <c r="S22" s="6">
        <v>-1.4669764354463988E-2</v>
      </c>
      <c r="T22" s="6">
        <v>7.200115548494268E-2</v>
      </c>
      <c r="U22" s="6" t="s">
        <v>12</v>
      </c>
      <c r="V22" s="6">
        <v>2.1715278813998193E-2</v>
      </c>
      <c r="W22" s="3">
        <v>0</v>
      </c>
      <c r="X22" s="11">
        <v>6.1363000000000003</v>
      </c>
      <c r="AA22">
        <v>5</v>
      </c>
      <c r="AB22" s="19" t="s">
        <v>53</v>
      </c>
      <c r="AC22" s="3">
        <v>19154</v>
      </c>
      <c r="AD22" s="7" t="e">
        <v>#DIV/0!</v>
      </c>
      <c r="AE22" s="7">
        <v>0.32023711055969128</v>
      </c>
      <c r="AF22" s="7" t="s">
        <v>12</v>
      </c>
      <c r="AG22" s="7">
        <v>2.0548790234765156E-2</v>
      </c>
      <c r="AH22">
        <v>3</v>
      </c>
      <c r="AI22" s="12">
        <v>6.8076999999999996</v>
      </c>
      <c r="AL22" s="3">
        <v>5</v>
      </c>
      <c r="AM22" s="19" t="s">
        <v>42</v>
      </c>
      <c r="AN22" s="3">
        <v>5126</v>
      </c>
      <c r="AO22" s="6" t="e">
        <v>#DIV/0!</v>
      </c>
      <c r="AP22" s="6">
        <v>9.553323359692234E-2</v>
      </c>
      <c r="AQ22" s="6" t="s">
        <v>12</v>
      </c>
      <c r="AR22" s="6">
        <v>6.630191558987493E-2</v>
      </c>
      <c r="AS22" s="3">
        <v>-1</v>
      </c>
      <c r="AT22" s="11">
        <v>3.4426000000000001</v>
      </c>
    </row>
    <row r="23" spans="1:46" x14ac:dyDescent="0.3">
      <c r="P23" s="3">
        <v>6</v>
      </c>
      <c r="Q23" s="3" t="s">
        <v>64</v>
      </c>
      <c r="R23" s="3">
        <v>14284</v>
      </c>
      <c r="S23" s="6">
        <v>-0.32825432656132425</v>
      </c>
      <c r="T23" s="6">
        <v>0.35009451795841207</v>
      </c>
      <c r="U23" s="6" t="s">
        <v>13</v>
      </c>
      <c r="V23" s="6">
        <v>2.0896055145456088E-2</v>
      </c>
      <c r="W23" s="3">
        <v>6</v>
      </c>
      <c r="X23" s="11">
        <v>7.6935000000000002</v>
      </c>
      <c r="AA23">
        <v>6</v>
      </c>
      <c r="AB23" s="19" t="s">
        <v>47</v>
      </c>
      <c r="AC23" s="3">
        <v>17955</v>
      </c>
      <c r="AD23" s="7">
        <v>0.24869601502190686</v>
      </c>
      <c r="AE23" s="7">
        <v>6.2803362140404939E-2</v>
      </c>
      <c r="AF23" s="7" t="s">
        <v>11</v>
      </c>
      <c r="AG23" s="7">
        <v>1.9262479307988325E-2</v>
      </c>
      <c r="AH23">
        <v>0</v>
      </c>
      <c r="AI23" s="12">
        <v>8.2665000000000006</v>
      </c>
      <c r="AL23" s="3">
        <v>6</v>
      </c>
      <c r="AM23" s="19" t="s">
        <v>54</v>
      </c>
      <c r="AN23" s="3">
        <v>4636</v>
      </c>
      <c r="AO23" s="6">
        <v>-5.3297937512762905E-2</v>
      </c>
      <c r="AP23" s="6">
        <v>0.20603537981269504</v>
      </c>
      <c r="AQ23" s="6" t="s">
        <v>13</v>
      </c>
      <c r="AR23" s="6">
        <v>5.9964042269734716E-2</v>
      </c>
      <c r="AS23" s="3">
        <v>2</v>
      </c>
      <c r="AT23" s="11">
        <v>2.3161</v>
      </c>
    </row>
    <row r="24" spans="1:46" x14ac:dyDescent="0.3">
      <c r="P24" s="3">
        <v>7</v>
      </c>
      <c r="Q24" s="3" t="s">
        <v>46</v>
      </c>
      <c r="R24" s="3">
        <v>14178</v>
      </c>
      <c r="S24" s="6">
        <v>-0.48695494843495568</v>
      </c>
      <c r="T24" s="6">
        <v>6.0909907213409165E-2</v>
      </c>
      <c r="U24" s="6" t="s">
        <v>12</v>
      </c>
      <c r="V24" s="6">
        <v>2.0740987808196332E-2</v>
      </c>
      <c r="W24" s="3">
        <v>-1</v>
      </c>
      <c r="X24" s="11">
        <v>10.593400000000001</v>
      </c>
      <c r="AA24">
        <v>7</v>
      </c>
      <c r="AB24" s="19" t="s">
        <v>62</v>
      </c>
      <c r="AC24" s="3">
        <v>16734</v>
      </c>
      <c r="AD24" s="7">
        <v>-6.2888503108024851E-2</v>
      </c>
      <c r="AE24" s="7">
        <v>0.35971398391159504</v>
      </c>
      <c r="AF24" s="7" t="s">
        <v>12</v>
      </c>
      <c r="AG24" s="7">
        <v>1.795256634585779E-2</v>
      </c>
      <c r="AH24">
        <v>4</v>
      </c>
      <c r="AI24" s="12">
        <v>8.35</v>
      </c>
      <c r="AL24" s="3">
        <v>7</v>
      </c>
      <c r="AM24" s="19" t="s">
        <v>39</v>
      </c>
      <c r="AN24" s="3">
        <v>4455</v>
      </c>
      <c r="AO24" s="6">
        <v>-0.17849898580121704</v>
      </c>
      <c r="AP24" s="6">
        <v>-0.12130177514792895</v>
      </c>
      <c r="AQ24" s="6" t="s">
        <v>13</v>
      </c>
      <c r="AR24" s="6">
        <v>5.7622909471887002E-2</v>
      </c>
      <c r="AS24" s="3">
        <v>-4</v>
      </c>
      <c r="AT24" s="11">
        <v>3.0156000000000001</v>
      </c>
    </row>
    <row r="25" spans="1:46" x14ac:dyDescent="0.3">
      <c r="P25" s="3">
        <v>8</v>
      </c>
      <c r="Q25" s="3" t="s">
        <v>55</v>
      </c>
      <c r="R25" s="3">
        <v>14037</v>
      </c>
      <c r="S25" s="6" t="e">
        <v>#DIV/0!</v>
      </c>
      <c r="T25" s="6">
        <v>0.14512971120900642</v>
      </c>
      <c r="U25" s="6" t="s">
        <v>11</v>
      </c>
      <c r="V25" s="6">
        <v>2.0534718991652694E-2</v>
      </c>
      <c r="W25" s="3">
        <v>1</v>
      </c>
      <c r="X25" s="11">
        <v>3.1154000000000002</v>
      </c>
      <c r="AA25">
        <v>8</v>
      </c>
      <c r="AB25" s="19" t="s">
        <v>41</v>
      </c>
      <c r="AC25" s="3">
        <v>16532</v>
      </c>
      <c r="AD25" s="7">
        <v>3305.4</v>
      </c>
      <c r="AE25" s="7">
        <v>-0.1384198457369189</v>
      </c>
      <c r="AF25" s="7" t="s">
        <v>13</v>
      </c>
      <c r="AG25" s="7">
        <v>1.7735856748519241E-2</v>
      </c>
      <c r="AH25">
        <v>-4</v>
      </c>
      <c r="AI25" s="12">
        <v>8.5859000000000005</v>
      </c>
      <c r="AL25" s="3">
        <v>8</v>
      </c>
      <c r="AM25" s="19" t="s">
        <v>45</v>
      </c>
      <c r="AN25" s="3">
        <v>3944</v>
      </c>
      <c r="AO25" s="6">
        <v>-0.37997170256249013</v>
      </c>
      <c r="AP25" s="6">
        <v>-0.13489800394823426</v>
      </c>
      <c r="AQ25" s="6" t="s">
        <v>13</v>
      </c>
      <c r="AR25" s="6">
        <v>5.1013413009455069E-2</v>
      </c>
      <c r="AS25" s="3">
        <v>-3</v>
      </c>
      <c r="AT25" s="11">
        <v>2.7606000000000002</v>
      </c>
    </row>
    <row r="26" spans="1:46" x14ac:dyDescent="0.3">
      <c r="P26" s="3">
        <v>9</v>
      </c>
      <c r="Q26" s="3" t="s">
        <v>37</v>
      </c>
      <c r="R26" s="3">
        <v>13973</v>
      </c>
      <c r="S26" s="6">
        <v>-0.19198519632221134</v>
      </c>
      <c r="T26" s="6">
        <v>-0.24807619867620945</v>
      </c>
      <c r="U26" s="6" t="s">
        <v>13</v>
      </c>
      <c r="V26" s="6">
        <v>2.04410934295336E-2</v>
      </c>
      <c r="W26" s="3">
        <v>-6</v>
      </c>
      <c r="X26" s="11">
        <v>6.6337999999999999</v>
      </c>
      <c r="AA26">
        <v>9</v>
      </c>
      <c r="AB26" s="19" t="s">
        <v>50</v>
      </c>
      <c r="AC26" s="3">
        <v>16428</v>
      </c>
      <c r="AD26" s="7">
        <v>-0.1638843648208469</v>
      </c>
      <c r="AE26" s="7">
        <v>8.0505130228887056E-2</v>
      </c>
      <c r="AF26" s="7" t="s">
        <v>12</v>
      </c>
      <c r="AG26" s="7">
        <v>1.7624283490483551E-2</v>
      </c>
      <c r="AH26">
        <v>-2</v>
      </c>
      <c r="AI26" s="12">
        <v>7.6097000000000001</v>
      </c>
      <c r="AL26" s="3">
        <v>9</v>
      </c>
      <c r="AM26" s="19" t="s">
        <v>110</v>
      </c>
      <c r="AN26" s="3">
        <v>3659</v>
      </c>
      <c r="AO26" s="6" t="e">
        <v>#DIV/0!</v>
      </c>
      <c r="AP26" s="6">
        <v>5.4192982456140353</v>
      </c>
      <c r="AQ26" s="6" t="s">
        <v>13</v>
      </c>
      <c r="AR26" s="6">
        <v>4.732709893549597E-2</v>
      </c>
      <c r="AS26" s="3">
        <v>13</v>
      </c>
      <c r="AT26" s="11">
        <v>0.4229</v>
      </c>
    </row>
    <row r="27" spans="1:46" x14ac:dyDescent="0.3">
      <c r="P27" s="3">
        <v>10</v>
      </c>
      <c r="Q27" s="3" t="s">
        <v>58</v>
      </c>
      <c r="R27" s="3">
        <v>13675</v>
      </c>
      <c r="S27" s="6">
        <v>-0.63318133047210301</v>
      </c>
      <c r="T27" s="6">
        <v>0.12551440329218111</v>
      </c>
      <c r="U27" s="6" t="s">
        <v>12</v>
      </c>
      <c r="V27" s="6">
        <v>2.000514940591655E-2</v>
      </c>
      <c r="W27" s="3">
        <v>0</v>
      </c>
      <c r="X27" s="11">
        <v>7.0801999999999996</v>
      </c>
      <c r="AA27">
        <v>10</v>
      </c>
      <c r="AB27" s="19" t="s">
        <v>77</v>
      </c>
      <c r="AC27" s="3">
        <v>15033</v>
      </c>
      <c r="AD27" s="7">
        <v>-0.29306371972725132</v>
      </c>
      <c r="AE27" s="7">
        <v>0.4054786836200448</v>
      </c>
      <c r="AF27" s="7" t="s">
        <v>12</v>
      </c>
      <c r="AG27" s="7">
        <v>1.6127699885101002E-2</v>
      </c>
      <c r="AH27">
        <v>6</v>
      </c>
      <c r="AI27" s="12">
        <v>7.1978</v>
      </c>
      <c r="AL27" s="3">
        <v>10</v>
      </c>
      <c r="AM27" s="19" t="s">
        <v>51</v>
      </c>
      <c r="AN27" s="3">
        <v>3078</v>
      </c>
      <c r="AO27" s="6">
        <v>-0.40498743475739418</v>
      </c>
      <c r="AP27" s="6">
        <v>-0.20051948051948054</v>
      </c>
      <c r="AQ27" s="6" t="s">
        <v>11</v>
      </c>
      <c r="AR27" s="6">
        <v>3.9812191998758295E-2</v>
      </c>
      <c r="AS27" s="3">
        <v>-3</v>
      </c>
      <c r="AT27" s="11">
        <v>1.7067000000000001</v>
      </c>
    </row>
    <row r="28" spans="1:46" x14ac:dyDescent="0.3">
      <c r="P28" s="3">
        <v>11</v>
      </c>
      <c r="Q28" s="3" t="s">
        <v>52</v>
      </c>
      <c r="R28" s="3">
        <v>13183</v>
      </c>
      <c r="S28" s="6">
        <v>-0.27065006915629319</v>
      </c>
      <c r="T28" s="6">
        <v>4.1228970855382574E-2</v>
      </c>
      <c r="U28" s="6" t="s">
        <v>11</v>
      </c>
      <c r="V28" s="6">
        <v>1.9285402897125988E-2</v>
      </c>
      <c r="W28" s="3">
        <v>-3</v>
      </c>
      <c r="X28" s="11">
        <v>6.9157000000000002</v>
      </c>
      <c r="AA28">
        <v>11</v>
      </c>
      <c r="AB28" s="19" t="s">
        <v>71</v>
      </c>
      <c r="AC28" s="3">
        <v>14507</v>
      </c>
      <c r="AD28" s="7">
        <v>-0.36342094870332176</v>
      </c>
      <c r="AE28" s="7">
        <v>0.2864236942449232</v>
      </c>
      <c r="AF28" s="7" t="s">
        <v>13</v>
      </c>
      <c r="AG28" s="7">
        <v>1.5563396676189731E-2</v>
      </c>
      <c r="AH28">
        <v>3</v>
      </c>
      <c r="AI28" s="12">
        <v>7.8498999999999999</v>
      </c>
      <c r="AL28" s="3">
        <v>11</v>
      </c>
      <c r="AM28" s="19" t="s">
        <v>66</v>
      </c>
      <c r="AN28" s="3">
        <v>3028</v>
      </c>
      <c r="AO28" s="6">
        <v>1.1878612716763004</v>
      </c>
      <c r="AP28" s="6">
        <v>0.7780387551379917</v>
      </c>
      <c r="AQ28" s="6" t="s">
        <v>13</v>
      </c>
      <c r="AR28" s="6">
        <v>3.9165470231397048E-2</v>
      </c>
      <c r="AS28" s="3">
        <v>1</v>
      </c>
      <c r="AT28" s="11">
        <v>0.69699999999999995</v>
      </c>
    </row>
    <row r="29" spans="1:46" x14ac:dyDescent="0.3">
      <c r="P29" s="3">
        <v>12</v>
      </c>
      <c r="Q29" s="3" t="s">
        <v>61</v>
      </c>
      <c r="R29" s="3">
        <v>13098</v>
      </c>
      <c r="S29" s="6">
        <v>384.23529411764707</v>
      </c>
      <c r="T29" s="6">
        <v>0.10624999999999996</v>
      </c>
      <c r="U29" s="6" t="s">
        <v>12</v>
      </c>
      <c r="V29" s="6">
        <v>1.9161056447436563E-2</v>
      </c>
      <c r="W29" s="3">
        <v>-1</v>
      </c>
      <c r="X29" s="11">
        <v>5.5483000000000002</v>
      </c>
      <c r="AA29">
        <v>12</v>
      </c>
      <c r="AB29" s="19" t="s">
        <v>85</v>
      </c>
      <c r="AC29" s="3">
        <v>14379</v>
      </c>
      <c r="AD29" s="7">
        <v>-0.30205805261625085</v>
      </c>
      <c r="AE29" s="7">
        <v>0.4242274167987321</v>
      </c>
      <c r="AF29" s="7" t="s">
        <v>12</v>
      </c>
      <c r="AG29" s="7">
        <v>1.5426075743222729E-2</v>
      </c>
      <c r="AH29">
        <v>6</v>
      </c>
      <c r="AI29" s="12">
        <v>8.2683999999999997</v>
      </c>
      <c r="AL29" s="3">
        <v>12</v>
      </c>
      <c r="AM29" s="19" t="s">
        <v>60</v>
      </c>
      <c r="AN29" s="3">
        <v>2515</v>
      </c>
      <c r="AO29" s="6">
        <v>-0.6430598921373829</v>
      </c>
      <c r="AP29" s="6">
        <v>-2.7831465017394641E-2</v>
      </c>
      <c r="AQ29" s="6" t="s">
        <v>11</v>
      </c>
      <c r="AR29" s="6">
        <v>3.2530104898270663E-2</v>
      </c>
      <c r="AS29" s="3">
        <v>-2</v>
      </c>
      <c r="AT29" s="11">
        <v>1.8488</v>
      </c>
    </row>
    <row r="30" spans="1:46" x14ac:dyDescent="0.3">
      <c r="P30" s="3">
        <v>13</v>
      </c>
      <c r="Q30" s="3" t="s">
        <v>67</v>
      </c>
      <c r="R30" s="3">
        <v>12484</v>
      </c>
      <c r="S30" s="6">
        <v>6.9201781431997178E-2</v>
      </c>
      <c r="T30" s="6">
        <v>0.20980715185580001</v>
      </c>
      <c r="U30" s="6" t="s">
        <v>34</v>
      </c>
      <c r="V30" s="6">
        <v>1.8262836210856469E-2</v>
      </c>
      <c r="W30" s="3">
        <v>0</v>
      </c>
      <c r="X30" s="11">
        <v>6.3996000000000004</v>
      </c>
      <c r="AA30">
        <v>13</v>
      </c>
      <c r="AB30" s="19" t="s">
        <v>84</v>
      </c>
      <c r="AC30" s="3">
        <v>13838</v>
      </c>
      <c r="AD30" s="7">
        <v>-0.20398067188219049</v>
      </c>
      <c r="AE30" s="7">
        <v>0.3124051593323216</v>
      </c>
      <c r="AF30" s="7" t="s">
        <v>12</v>
      </c>
      <c r="AG30" s="7">
        <v>1.4845680237479389E-2</v>
      </c>
      <c r="AH30">
        <v>4</v>
      </c>
      <c r="AI30" s="12">
        <v>7.4015000000000004</v>
      </c>
      <c r="AL30" s="3">
        <v>13</v>
      </c>
      <c r="AM30" s="19" t="s">
        <v>63</v>
      </c>
      <c r="AN30" s="3">
        <v>1785</v>
      </c>
      <c r="AO30" s="6">
        <v>-0.68667719852553977</v>
      </c>
      <c r="AP30" s="6">
        <v>-1.0532150776053184E-2</v>
      </c>
      <c r="AQ30" s="6" t="s">
        <v>11</v>
      </c>
      <c r="AR30" s="6">
        <v>2.3087967094796477E-2</v>
      </c>
      <c r="AS30" s="3">
        <v>-2</v>
      </c>
      <c r="AT30" s="11">
        <v>1.3462000000000001</v>
      </c>
    </row>
    <row r="31" spans="1:46" x14ac:dyDescent="0.3">
      <c r="P31" s="3">
        <v>14</v>
      </c>
      <c r="Q31" s="3" t="s">
        <v>40</v>
      </c>
      <c r="R31" s="3">
        <v>12100</v>
      </c>
      <c r="S31" s="6">
        <v>-0.56702211407714875</v>
      </c>
      <c r="T31" s="6">
        <v>-0.19542522774120619</v>
      </c>
      <c r="U31" s="6" t="s">
        <v>10</v>
      </c>
      <c r="V31" s="6">
        <v>1.7701082838141882E-2</v>
      </c>
      <c r="W31" s="3">
        <v>-10</v>
      </c>
      <c r="X31" s="11">
        <v>6.3955000000000002</v>
      </c>
      <c r="AA31">
        <v>14</v>
      </c>
      <c r="AB31" s="19" t="s">
        <v>82</v>
      </c>
      <c r="AC31" s="3">
        <v>13291</v>
      </c>
      <c r="AD31" s="7">
        <v>4.9547491039426523</v>
      </c>
      <c r="AE31" s="7">
        <v>0.55541252194265645</v>
      </c>
      <c r="AF31" s="7" t="s">
        <v>34</v>
      </c>
      <c r="AG31" s="7">
        <v>1.425884781300322E-2</v>
      </c>
      <c r="AH31">
        <v>13</v>
      </c>
      <c r="AI31" s="12">
        <v>10.342499999999999</v>
      </c>
      <c r="AL31" s="3">
        <v>14</v>
      </c>
      <c r="AM31" s="19" t="s">
        <v>75</v>
      </c>
      <c r="AN31" s="3">
        <v>1766</v>
      </c>
      <c r="AO31" s="6">
        <v>-0.41831357048748352</v>
      </c>
      <c r="AP31" s="6">
        <v>0.44635544635544644</v>
      </c>
      <c r="AQ31" s="6" t="s">
        <v>12</v>
      </c>
      <c r="AR31" s="6">
        <v>2.2842212823199204E-2</v>
      </c>
      <c r="AS31" s="3">
        <v>1</v>
      </c>
      <c r="AT31" s="11">
        <v>1.0085999999999999</v>
      </c>
    </row>
    <row r="32" spans="1:46" x14ac:dyDescent="0.3">
      <c r="P32" s="3">
        <v>15</v>
      </c>
      <c r="Q32" s="3" t="s">
        <v>70</v>
      </c>
      <c r="R32" s="3">
        <v>12024</v>
      </c>
      <c r="S32" s="6">
        <v>-0.19057556378323792</v>
      </c>
      <c r="T32" s="6">
        <v>0.23513097072419109</v>
      </c>
      <c r="U32" s="6" t="s">
        <v>13</v>
      </c>
      <c r="V32" s="6">
        <v>1.7589902483125454E-2</v>
      </c>
      <c r="W32" s="3">
        <v>-1</v>
      </c>
      <c r="X32" s="11">
        <v>6.2815000000000003</v>
      </c>
      <c r="AA32">
        <v>15</v>
      </c>
      <c r="AB32" s="19" t="s">
        <v>65</v>
      </c>
      <c r="AC32" s="3">
        <v>13013</v>
      </c>
      <c r="AD32" s="7">
        <v>-9.3612871769868322E-2</v>
      </c>
      <c r="AE32" s="7">
        <v>9.2886537330981733E-2</v>
      </c>
      <c r="AF32" s="7" t="s">
        <v>12</v>
      </c>
      <c r="AG32" s="7">
        <v>1.3960603911715514E-2</v>
      </c>
      <c r="AH32">
        <v>-3</v>
      </c>
      <c r="AI32" s="12">
        <v>7.8536000000000001</v>
      </c>
      <c r="AL32" s="3">
        <v>15</v>
      </c>
      <c r="AM32" s="19" t="s">
        <v>69</v>
      </c>
      <c r="AN32" s="3">
        <v>1454</v>
      </c>
      <c r="AO32" s="6">
        <v>-0.14015375517445294</v>
      </c>
      <c r="AP32" s="6">
        <v>-7.0332480818414367E-2</v>
      </c>
      <c r="AQ32" s="6" t="s">
        <v>13</v>
      </c>
      <c r="AR32" s="6">
        <v>1.8806668994865029E-2</v>
      </c>
      <c r="AS32" s="3">
        <v>-2</v>
      </c>
      <c r="AT32" s="11">
        <v>1.3426</v>
      </c>
    </row>
    <row r="33" spans="16:46" x14ac:dyDescent="0.3">
      <c r="P33" s="3"/>
      <c r="Q33" s="3"/>
      <c r="R33" s="3"/>
      <c r="S33" s="3"/>
      <c r="T33" s="3"/>
      <c r="U33" s="3"/>
      <c r="V33" s="3"/>
      <c r="W33" s="3"/>
      <c r="X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6:46" x14ac:dyDescent="0.3">
      <c r="P34" s="3"/>
      <c r="Q34" s="3"/>
      <c r="R34" s="3"/>
      <c r="S34" s="3"/>
      <c r="T34" s="3"/>
      <c r="U34" s="3"/>
      <c r="V34" s="3"/>
      <c r="W34" s="3"/>
      <c r="X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6:46" x14ac:dyDescent="0.3">
      <c r="P35" s="3"/>
      <c r="Q35" s="3"/>
      <c r="R35" s="3"/>
      <c r="S35" s="3"/>
      <c r="T35" s="3"/>
      <c r="U35" s="1" t="s">
        <v>76</v>
      </c>
      <c r="V35" s="6">
        <v>0.34492827404202031</v>
      </c>
      <c r="W35" s="3"/>
      <c r="X35" s="3"/>
      <c r="AF35" s="1" t="s">
        <v>76</v>
      </c>
      <c r="AG35" s="7">
        <v>0.28769486430438901</v>
      </c>
      <c r="AL35" s="3"/>
      <c r="AM35" s="3"/>
      <c r="AN35" s="3"/>
      <c r="AO35" s="3"/>
      <c r="AP35" s="3"/>
      <c r="AQ35" s="3" t="s">
        <v>76</v>
      </c>
      <c r="AR35" s="6">
        <v>0.77182362603960519</v>
      </c>
      <c r="AS35" s="3"/>
      <c r="AT35" s="3"/>
    </row>
  </sheetData>
  <mergeCells count="6">
    <mergeCell ref="A1:E2"/>
    <mergeCell ref="H1:M2"/>
    <mergeCell ref="P1:X2"/>
    <mergeCell ref="AA1:AE2"/>
    <mergeCell ref="AF1:AI2"/>
    <mergeCell ref="AL1:AT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5"/>
  <sheetViews>
    <sheetView workbookViewId="0">
      <selection activeCell="J21" sqref="J21"/>
    </sheetView>
  </sheetViews>
  <sheetFormatPr defaultColWidth="9" defaultRowHeight="14" x14ac:dyDescent="0.3"/>
  <cols>
    <col min="15" max="15" width="10.6640625"/>
  </cols>
  <sheetData>
    <row r="1" spans="1:46" x14ac:dyDescent="0.3">
      <c r="A1" s="16" t="s">
        <v>0</v>
      </c>
      <c r="B1" s="17"/>
      <c r="C1" s="17"/>
      <c r="D1" s="17"/>
      <c r="E1" s="17"/>
      <c r="H1" s="16" t="s">
        <v>1</v>
      </c>
      <c r="I1" s="16"/>
      <c r="J1" s="16"/>
      <c r="K1" s="16"/>
      <c r="L1" s="16"/>
      <c r="M1" s="16"/>
      <c r="P1" s="16" t="s">
        <v>2</v>
      </c>
      <c r="Q1" s="16"/>
      <c r="R1" s="16"/>
      <c r="S1" s="16"/>
      <c r="T1" s="16"/>
      <c r="U1" s="16"/>
      <c r="V1" s="16"/>
      <c r="W1" s="16"/>
      <c r="X1" s="16"/>
      <c r="AA1" s="16" t="s">
        <v>3</v>
      </c>
      <c r="AB1" s="17"/>
      <c r="AC1" s="17"/>
      <c r="AD1" s="17"/>
      <c r="AE1" s="17"/>
      <c r="AF1" s="16"/>
      <c r="AG1" s="17"/>
      <c r="AH1" s="17"/>
      <c r="AI1" s="17"/>
      <c r="AL1" s="16" t="s">
        <v>4</v>
      </c>
      <c r="AM1" s="16"/>
      <c r="AN1" s="16"/>
      <c r="AO1" s="16"/>
      <c r="AP1" s="16"/>
      <c r="AQ1" s="16"/>
      <c r="AR1" s="16"/>
      <c r="AS1" s="16"/>
      <c r="AT1" s="16"/>
    </row>
    <row r="2" spans="1:46" x14ac:dyDescent="0.3">
      <c r="A2" s="17"/>
      <c r="B2" s="17"/>
      <c r="C2" s="17"/>
      <c r="D2" s="17"/>
      <c r="E2" s="17"/>
      <c r="H2" s="16"/>
      <c r="I2" s="16"/>
      <c r="J2" s="16"/>
      <c r="K2" s="16"/>
      <c r="L2" s="16"/>
      <c r="M2" s="16"/>
      <c r="P2" s="16"/>
      <c r="Q2" s="16"/>
      <c r="R2" s="16"/>
      <c r="S2" s="16"/>
      <c r="T2" s="16"/>
      <c r="U2" s="16"/>
      <c r="V2" s="16"/>
      <c r="W2" s="16"/>
      <c r="X2" s="16"/>
      <c r="AA2" s="17"/>
      <c r="AB2" s="17"/>
      <c r="AC2" s="17"/>
      <c r="AD2" s="17"/>
      <c r="AE2" s="17"/>
      <c r="AF2" s="17"/>
      <c r="AG2" s="17"/>
      <c r="AH2" s="17"/>
      <c r="AI2" s="17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3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H3" s="1" t="s">
        <v>5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P3" s="1" t="s">
        <v>5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3"/>
      <c r="W3" s="3"/>
      <c r="X3" s="3"/>
      <c r="AA3" s="1" t="s">
        <v>5</v>
      </c>
      <c r="AB3" s="2" t="s">
        <v>11</v>
      </c>
      <c r="AC3" s="2" t="s">
        <v>12</v>
      </c>
      <c r="AD3" s="2" t="s">
        <v>13</v>
      </c>
      <c r="AE3" s="2" t="s">
        <v>14</v>
      </c>
      <c r="AL3" s="1" t="s">
        <v>5</v>
      </c>
      <c r="AM3" s="2" t="s">
        <v>11</v>
      </c>
      <c r="AN3" s="2" t="s">
        <v>12</v>
      </c>
      <c r="AO3" s="2" t="s">
        <v>13</v>
      </c>
      <c r="AP3" s="3"/>
      <c r="AQ3" s="3"/>
      <c r="AR3" s="3"/>
      <c r="AS3" s="3"/>
      <c r="AT3" s="3"/>
    </row>
    <row r="4" spans="1:46" x14ac:dyDescent="0.3">
      <c r="A4" s="1">
        <v>2025</v>
      </c>
      <c r="B4" s="4">
        <v>850076</v>
      </c>
      <c r="C4" s="4">
        <v>927674</v>
      </c>
      <c r="D4" s="4">
        <v>96054</v>
      </c>
      <c r="E4" s="4">
        <v>14636</v>
      </c>
      <c r="H4" s="1">
        <v>2025</v>
      </c>
      <c r="I4" s="14">
        <v>7.0640000000000001</v>
      </c>
      <c r="J4" s="14">
        <v>17.949100000000001</v>
      </c>
      <c r="K4" s="14">
        <v>67.716300000000004</v>
      </c>
      <c r="L4" s="14">
        <v>71.888000000000005</v>
      </c>
      <c r="M4" s="14">
        <v>24.226600000000001</v>
      </c>
      <c r="P4" s="1">
        <v>2025</v>
      </c>
      <c r="Q4" s="15">
        <v>7.0640000000000001</v>
      </c>
      <c r="R4" s="15">
        <v>11.432399999999999</v>
      </c>
      <c r="S4" s="15">
        <v>25.8841</v>
      </c>
      <c r="T4" s="15">
        <v>28.707100000000001</v>
      </c>
      <c r="U4" s="15">
        <v>11.92</v>
      </c>
      <c r="V4" s="3"/>
      <c r="W4" s="3"/>
      <c r="X4" s="3"/>
      <c r="AA4" s="1">
        <v>2025</v>
      </c>
      <c r="AB4" s="14">
        <v>4.5473999999999997</v>
      </c>
      <c r="AC4" s="14">
        <v>41.200499999999998</v>
      </c>
      <c r="AD4" s="14">
        <v>36.176499999999997</v>
      </c>
      <c r="AE4" s="14">
        <v>10.843</v>
      </c>
      <c r="AL4" s="1">
        <v>2025</v>
      </c>
      <c r="AM4" s="15">
        <v>1.9693000000000001</v>
      </c>
      <c r="AN4" s="15">
        <v>0.63170000000000004</v>
      </c>
      <c r="AO4" s="15">
        <v>7.0044000000000004</v>
      </c>
      <c r="AP4" s="3"/>
      <c r="AQ4" s="3"/>
      <c r="AR4" s="3"/>
      <c r="AS4" s="3"/>
      <c r="AT4" s="3"/>
    </row>
    <row r="5" spans="1:46" x14ac:dyDescent="0.3">
      <c r="A5" s="1">
        <v>2026</v>
      </c>
      <c r="B5" s="4">
        <v>611405</v>
      </c>
      <c r="C5" s="4">
        <v>822760</v>
      </c>
      <c r="D5" s="4">
        <v>66787</v>
      </c>
      <c r="E5" s="4">
        <v>10199</v>
      </c>
      <c r="H5" s="1">
        <v>2026</v>
      </c>
      <c r="I5" s="14">
        <v>3.1848999999999998</v>
      </c>
      <c r="J5" s="14">
        <v>17.889800000000001</v>
      </c>
      <c r="K5" s="14">
        <v>48.768099999999997</v>
      </c>
      <c r="L5" s="14">
        <v>57.953099999999999</v>
      </c>
      <c r="M5" s="14">
        <v>23.319199999999999</v>
      </c>
      <c r="P5" s="1">
        <v>2026</v>
      </c>
      <c r="Q5" s="15">
        <v>3.1848999999999998</v>
      </c>
      <c r="R5" s="15">
        <v>10.4879</v>
      </c>
      <c r="S5" s="15">
        <v>17.288</v>
      </c>
      <c r="T5" s="15">
        <v>20.435300000000002</v>
      </c>
      <c r="U5" s="15">
        <v>9.7444000000000006</v>
      </c>
      <c r="V5" s="3"/>
      <c r="W5" s="3"/>
      <c r="X5" s="3"/>
      <c r="AA5" s="1">
        <v>2026</v>
      </c>
      <c r="AB5" s="14">
        <v>6.492</v>
      </c>
      <c r="AC5" s="14">
        <v>30.7883</v>
      </c>
      <c r="AD5" s="14">
        <v>32.440800000000003</v>
      </c>
      <c r="AE5" s="14">
        <v>12.5549</v>
      </c>
      <c r="AL5" s="1">
        <v>2026</v>
      </c>
      <c r="AM5" s="15">
        <v>0.90990000000000004</v>
      </c>
      <c r="AN5" s="15">
        <v>0.69179999999999997</v>
      </c>
      <c r="AO5" s="15">
        <v>5.077</v>
      </c>
      <c r="AP5" s="3"/>
      <c r="AQ5" s="3"/>
      <c r="AR5" s="3"/>
      <c r="AS5" s="3"/>
      <c r="AT5" s="3"/>
    </row>
    <row r="6" spans="1:46" x14ac:dyDescent="0.3">
      <c r="A6" s="1" t="s">
        <v>15</v>
      </c>
      <c r="B6" s="6">
        <v>-0.28076430813244901</v>
      </c>
      <c r="C6" s="6">
        <v>-0.11309360831499</v>
      </c>
      <c r="D6" s="6">
        <v>-0.30469319341203899</v>
      </c>
      <c r="E6" s="6">
        <v>-0.303156600163979</v>
      </c>
      <c r="H6" s="1" t="s">
        <v>15</v>
      </c>
      <c r="I6" s="7">
        <v>-0.54913646659116599</v>
      </c>
      <c r="J6" s="7">
        <v>-3.3037868193948102E-3</v>
      </c>
      <c r="K6" s="7">
        <v>-0.27981741471403498</v>
      </c>
      <c r="L6" s="7">
        <v>-0.193841809481415</v>
      </c>
      <c r="M6" s="7">
        <v>-3.7454698554481497E-2</v>
      </c>
      <c r="P6" s="1" t="s">
        <v>15</v>
      </c>
      <c r="Q6" s="6">
        <v>-0.54913646659116599</v>
      </c>
      <c r="R6" s="6">
        <v>-8.2616073615338806E-2</v>
      </c>
      <c r="S6" s="6">
        <v>-0.33209962872960602</v>
      </c>
      <c r="T6" s="6">
        <v>-0.28814474467988799</v>
      </c>
      <c r="U6" s="6">
        <v>-0.18251677852348999</v>
      </c>
      <c r="V6" s="3"/>
      <c r="W6" s="3"/>
      <c r="X6" s="3"/>
      <c r="AA6" s="1" t="s">
        <v>15</v>
      </c>
      <c r="AB6" s="7">
        <v>0.42762897479878598</v>
      </c>
      <c r="AC6" s="7">
        <v>-0.25272023397774301</v>
      </c>
      <c r="AD6" s="7">
        <v>-0.103263168078725</v>
      </c>
      <c r="AE6" s="7">
        <v>0.157880660333856</v>
      </c>
      <c r="AL6" s="1" t="s">
        <v>15</v>
      </c>
      <c r="AM6" s="6">
        <v>-0.53795764992636996</v>
      </c>
      <c r="AN6" s="6">
        <v>9.5140098147854998E-2</v>
      </c>
      <c r="AO6" s="6">
        <v>-0.27516989320998197</v>
      </c>
      <c r="AP6" s="3"/>
      <c r="AQ6" s="3"/>
      <c r="AR6" s="3"/>
      <c r="AS6" s="3"/>
      <c r="AT6" s="3"/>
    </row>
    <row r="7" spans="1:46" x14ac:dyDescent="0.3">
      <c r="A7" s="1" t="s">
        <v>16</v>
      </c>
      <c r="B7" s="6">
        <v>6.3427708726854007E-2</v>
      </c>
      <c r="C7" s="6">
        <v>0.13003599864301199</v>
      </c>
      <c r="D7" s="6">
        <v>-4.1311993109882997E-2</v>
      </c>
      <c r="E7" s="6">
        <v>-7.1044721741506597E-2</v>
      </c>
      <c r="H7" s="1" t="s">
        <v>16</v>
      </c>
      <c r="I7" s="7">
        <v>4.8837515642494903E-2</v>
      </c>
      <c r="J7" s="7">
        <v>0.117888922215557</v>
      </c>
      <c r="K7" s="7">
        <v>5.5351296139605197E-2</v>
      </c>
      <c r="L7" s="7">
        <v>0.123801600968027</v>
      </c>
      <c r="M7" s="7">
        <v>8.2217973231357502E-2</v>
      </c>
      <c r="P7" s="1" t="s">
        <v>16</v>
      </c>
      <c r="Q7" s="6">
        <v>4.8837515642494903E-2</v>
      </c>
      <c r="R7" s="6">
        <v>5.6651487063754197E-2</v>
      </c>
      <c r="S7" s="6">
        <v>5.0928283716844503E-4</v>
      </c>
      <c r="T7" s="6">
        <v>0.158995910820728</v>
      </c>
      <c r="U7" s="6">
        <v>1.2878748505794801E-2</v>
      </c>
      <c r="V7" s="3"/>
      <c r="W7" s="3"/>
      <c r="X7" s="3"/>
      <c r="AA7" s="1" t="s">
        <v>16</v>
      </c>
      <c r="AB7" s="7">
        <v>0.26234735941510501</v>
      </c>
      <c r="AC7" s="7">
        <v>9.4640622333466207E-2</v>
      </c>
      <c r="AD7" s="7">
        <v>0.12995168913859001</v>
      </c>
      <c r="AE7" s="7">
        <v>0.159356185129095</v>
      </c>
      <c r="AL7" s="1" t="s">
        <v>16</v>
      </c>
      <c r="AM7" s="6">
        <v>-2.6636713735558398E-2</v>
      </c>
      <c r="AN7" s="6">
        <v>-0.140300733192494</v>
      </c>
      <c r="AO7" s="6">
        <v>-2.8697149416491301E-2</v>
      </c>
      <c r="AP7" s="3"/>
      <c r="AQ7" s="3"/>
      <c r="AR7" s="3"/>
      <c r="AS7" s="3"/>
      <c r="AT7" s="3"/>
    </row>
    <row r="8" spans="1:46" x14ac:dyDescent="0.3">
      <c r="A8" s="9"/>
      <c r="B8" s="3"/>
      <c r="C8" s="3"/>
      <c r="D8" s="3"/>
      <c r="E8" s="3"/>
      <c r="P8" s="9" t="s">
        <v>17</v>
      </c>
      <c r="Q8" s="6">
        <v>5.2091494181434599E-2</v>
      </c>
      <c r="R8" s="6">
        <v>0.171537687784693</v>
      </c>
      <c r="S8" s="6">
        <v>0.28275856429044599</v>
      </c>
      <c r="T8" s="6">
        <v>0.33423508149262798</v>
      </c>
      <c r="U8" s="6">
        <v>0.159377172250799</v>
      </c>
      <c r="V8" s="3"/>
      <c r="W8" s="3"/>
      <c r="X8" s="3"/>
      <c r="AA8" s="1" t="s">
        <v>17</v>
      </c>
      <c r="AB8" s="7">
        <v>7.8905148524478594E-2</v>
      </c>
      <c r="AC8" s="7">
        <v>0.374207545335213</v>
      </c>
      <c r="AD8" s="7">
        <v>0.39429238173951098</v>
      </c>
      <c r="AE8" s="7">
        <v>0.152594924400797</v>
      </c>
      <c r="AL8" s="1" t="s">
        <v>17</v>
      </c>
      <c r="AM8" s="6">
        <v>0.13623908844535601</v>
      </c>
      <c r="AN8" s="6">
        <v>0.10358303262611</v>
      </c>
      <c r="AO8" s="6">
        <v>0.76017787892853395</v>
      </c>
      <c r="AP8" s="3"/>
      <c r="AQ8" s="3"/>
      <c r="AR8" s="3"/>
      <c r="AS8" s="3"/>
      <c r="AT8" s="3"/>
    </row>
    <row r="9" spans="1:46" x14ac:dyDescent="0.3">
      <c r="A9" s="1" t="s">
        <v>18</v>
      </c>
      <c r="B9" s="2" t="s">
        <v>6</v>
      </c>
      <c r="C9" s="2" t="s">
        <v>7</v>
      </c>
      <c r="D9" s="2" t="s">
        <v>8</v>
      </c>
      <c r="E9" s="2" t="s">
        <v>9</v>
      </c>
      <c r="H9" s="1" t="s">
        <v>18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P9" s="3"/>
      <c r="Q9" s="3"/>
      <c r="R9" s="3"/>
      <c r="S9" s="3"/>
      <c r="T9" s="3"/>
      <c r="U9" s="3"/>
      <c r="V9" s="3"/>
      <c r="W9" s="3"/>
      <c r="X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>
        <v>2025</v>
      </c>
      <c r="B10" s="4">
        <v>4008202</v>
      </c>
      <c r="C10" s="4">
        <v>4156602</v>
      </c>
      <c r="D10" s="4">
        <v>449389</v>
      </c>
      <c r="E10" s="4">
        <v>74176</v>
      </c>
      <c r="H10" s="1">
        <v>2025</v>
      </c>
      <c r="I10" s="14">
        <v>34.387300000000003</v>
      </c>
      <c r="J10" s="14">
        <v>79.163899999999998</v>
      </c>
      <c r="K10" s="14">
        <v>324.68630000000002</v>
      </c>
      <c r="L10" s="14">
        <v>327.91219999999998</v>
      </c>
      <c r="M10" s="14">
        <v>102.6872</v>
      </c>
      <c r="P10" s="1" t="s">
        <v>18</v>
      </c>
      <c r="Q10" s="2" t="s">
        <v>10</v>
      </c>
      <c r="R10" s="2" t="s">
        <v>11</v>
      </c>
      <c r="S10" s="2" t="s">
        <v>12</v>
      </c>
      <c r="T10" s="2" t="s">
        <v>13</v>
      </c>
      <c r="U10" s="2" t="s">
        <v>14</v>
      </c>
      <c r="V10" s="3"/>
      <c r="W10" s="3"/>
      <c r="X10" s="3"/>
      <c r="AA10" s="1" t="s">
        <v>18</v>
      </c>
      <c r="AB10" s="2" t="s">
        <v>11</v>
      </c>
      <c r="AC10" s="2" t="s">
        <v>12</v>
      </c>
      <c r="AD10" s="2" t="s">
        <v>13</v>
      </c>
      <c r="AE10" s="2" t="s">
        <v>14</v>
      </c>
      <c r="AL10" s="1" t="s">
        <v>18</v>
      </c>
      <c r="AM10" s="2" t="s">
        <v>11</v>
      </c>
      <c r="AN10" s="2" t="s">
        <v>12</v>
      </c>
      <c r="AO10" s="2" t="s">
        <v>13</v>
      </c>
      <c r="AP10" s="3"/>
      <c r="AQ10" s="3"/>
      <c r="AR10" s="3"/>
      <c r="AS10" s="3"/>
      <c r="AT10" s="3"/>
    </row>
    <row r="11" spans="1:46" x14ac:dyDescent="0.3">
      <c r="A11" s="1">
        <v>2026</v>
      </c>
      <c r="B11" s="4">
        <v>2898248</v>
      </c>
      <c r="C11" s="4">
        <v>3809126</v>
      </c>
      <c r="D11" s="4">
        <v>345572</v>
      </c>
      <c r="E11" s="4">
        <v>43052</v>
      </c>
      <c r="H11" s="1">
        <v>2026</v>
      </c>
      <c r="I11" s="14">
        <v>11.917899999999999</v>
      </c>
      <c r="J11" s="14">
        <v>65.833200000000005</v>
      </c>
      <c r="K11" s="14">
        <v>251.0522</v>
      </c>
      <c r="L11" s="14">
        <v>274.67419999999998</v>
      </c>
      <c r="M11" s="14">
        <v>106.1223</v>
      </c>
      <c r="P11" s="1">
        <v>2025</v>
      </c>
      <c r="Q11" s="15">
        <v>34.387300000000003</v>
      </c>
      <c r="R11" s="15">
        <v>46.829900000000002</v>
      </c>
      <c r="S11" s="15">
        <v>130.90649999999999</v>
      </c>
      <c r="T11" s="15">
        <v>133.9427</v>
      </c>
      <c r="U11" s="15">
        <v>54.753799999999998</v>
      </c>
      <c r="V11" s="3"/>
      <c r="W11" s="3"/>
      <c r="X11" s="3"/>
      <c r="AA11" s="1">
        <v>2025</v>
      </c>
      <c r="AB11" s="14">
        <v>22.3414</v>
      </c>
      <c r="AC11" s="14">
        <v>190.33090000000001</v>
      </c>
      <c r="AD11" s="14">
        <v>162.47229999999999</v>
      </c>
      <c r="AE11" s="14">
        <v>40.515599999999999</v>
      </c>
      <c r="AL11" s="1">
        <v>2025</v>
      </c>
      <c r="AM11" s="15">
        <v>9.9925999999999995</v>
      </c>
      <c r="AN11" s="15">
        <v>3.4489000000000001</v>
      </c>
      <c r="AO11" s="15">
        <v>31.497199999999999</v>
      </c>
      <c r="AP11" s="3"/>
      <c r="AQ11" s="3"/>
      <c r="AR11" s="3"/>
      <c r="AS11" s="3"/>
      <c r="AT11" s="3"/>
    </row>
    <row r="12" spans="1:46" x14ac:dyDescent="0.3">
      <c r="A12" s="1" t="s">
        <v>15</v>
      </c>
      <c r="B12" s="6">
        <v>-0.27692067415763999</v>
      </c>
      <c r="C12" s="6">
        <v>-8.3596168216249697E-2</v>
      </c>
      <c r="D12" s="6">
        <v>-0.23101811570821701</v>
      </c>
      <c r="E12" s="6">
        <v>-0.41959663503019801</v>
      </c>
      <c r="H12" s="1" t="s">
        <v>15</v>
      </c>
      <c r="I12" s="7">
        <v>-0.653421466646116</v>
      </c>
      <c r="J12" s="7">
        <v>-0.16839367438946301</v>
      </c>
      <c r="K12" s="7">
        <v>-0.226785361747632</v>
      </c>
      <c r="L12" s="7">
        <v>-0.16235443512013301</v>
      </c>
      <c r="M12" s="7">
        <v>3.3452075818602503E-2</v>
      </c>
      <c r="P12" s="1">
        <v>2026</v>
      </c>
      <c r="Q12" s="15">
        <v>11.917899999999999</v>
      </c>
      <c r="R12" s="15">
        <v>38.877000000000002</v>
      </c>
      <c r="S12" s="15">
        <v>94.279499999999999</v>
      </c>
      <c r="T12" s="15">
        <v>102.08150000000001</v>
      </c>
      <c r="U12" s="15">
        <v>42.668900000000001</v>
      </c>
      <c r="V12" s="3"/>
      <c r="W12" s="3"/>
      <c r="X12" s="3"/>
      <c r="AA12" s="1">
        <v>2026</v>
      </c>
      <c r="AB12" s="14">
        <v>22.248899999999999</v>
      </c>
      <c r="AC12" s="14">
        <v>152.4263</v>
      </c>
      <c r="AD12" s="14">
        <v>147.08930000000001</v>
      </c>
      <c r="AE12" s="14">
        <v>59.148099999999999</v>
      </c>
      <c r="AL12" s="1">
        <v>2026</v>
      </c>
      <c r="AM12" s="15">
        <v>4.7073</v>
      </c>
      <c r="AN12" s="15">
        <v>4.3464</v>
      </c>
      <c r="AO12" s="15">
        <v>25.503399999999999</v>
      </c>
      <c r="AP12" s="3"/>
      <c r="AQ12" s="3"/>
      <c r="AR12" s="3"/>
      <c r="AS12" s="3"/>
      <c r="AT12" s="3"/>
    </row>
    <row r="13" spans="1:46" x14ac:dyDescent="0.3">
      <c r="A13" s="9"/>
      <c r="B13" s="3"/>
      <c r="C13" s="3"/>
      <c r="D13" s="3"/>
      <c r="E13" s="3"/>
      <c r="P13" s="1" t="s">
        <v>15</v>
      </c>
      <c r="Q13" s="6">
        <v>-0.653421466646116</v>
      </c>
      <c r="R13" s="6">
        <v>-0.16982526121131999</v>
      </c>
      <c r="S13" s="6">
        <v>-0.279795120945102</v>
      </c>
      <c r="T13" s="6">
        <v>-0.23787186610393901</v>
      </c>
      <c r="U13" s="6">
        <v>-0.22071344819902899</v>
      </c>
      <c r="V13" s="3"/>
      <c r="W13" s="3"/>
      <c r="X13" s="3"/>
      <c r="AA13" s="1" t="s">
        <v>15</v>
      </c>
      <c r="AB13" s="7">
        <v>-4.1402955947255097E-3</v>
      </c>
      <c r="AC13" s="7">
        <v>-0.199151057447845</v>
      </c>
      <c r="AD13" s="7">
        <v>-9.4680754811743303E-2</v>
      </c>
      <c r="AE13" s="7">
        <v>0.45988458766499801</v>
      </c>
      <c r="AL13" s="1" t="s">
        <v>15</v>
      </c>
      <c r="AM13" s="6">
        <v>-0.52892140183736003</v>
      </c>
      <c r="AN13" s="6">
        <v>0.26022789875032598</v>
      </c>
      <c r="AO13" s="6">
        <v>-0.190296280304281</v>
      </c>
      <c r="AP13" s="3"/>
      <c r="AQ13" s="3"/>
      <c r="AR13" s="3"/>
      <c r="AS13" s="3"/>
      <c r="AT13" s="3"/>
    </row>
    <row r="14" spans="1:46" x14ac:dyDescent="0.3">
      <c r="A14" s="1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H14" s="1" t="s">
        <v>19</v>
      </c>
      <c r="P14" s="1" t="s">
        <v>17</v>
      </c>
      <c r="Q14" s="6">
        <v>4.1121049682428801E-2</v>
      </c>
      <c r="R14" s="6">
        <v>0.13413965954604301</v>
      </c>
      <c r="S14" s="6">
        <v>0.32529824914914102</v>
      </c>
      <c r="T14" s="6">
        <v>0.35221796064381</v>
      </c>
      <c r="U14" s="6">
        <v>0.147223080978577</v>
      </c>
      <c r="V14" s="3"/>
      <c r="W14" s="3"/>
      <c r="X14" s="3"/>
      <c r="AA14" s="1" t="s">
        <v>17</v>
      </c>
      <c r="AB14" s="7">
        <v>5.84094619080597E-2</v>
      </c>
      <c r="AC14" s="7">
        <v>0.40016082429407701</v>
      </c>
      <c r="AD14" s="7">
        <v>0.38614973618620102</v>
      </c>
      <c r="AE14" s="7">
        <v>0.15527997761166201</v>
      </c>
      <c r="AL14" s="1" t="s">
        <v>17</v>
      </c>
      <c r="AM14" s="6">
        <v>0.13621763337307399</v>
      </c>
      <c r="AN14" s="6">
        <v>0.12577407891843101</v>
      </c>
      <c r="AO14" s="6">
        <v>0.738005393955529</v>
      </c>
      <c r="AP14" s="3"/>
      <c r="AQ14" s="3"/>
      <c r="AR14" s="3"/>
      <c r="AS14" s="3"/>
      <c r="AT14" s="3"/>
    </row>
    <row r="15" spans="1:46" x14ac:dyDescent="0.3">
      <c r="A15" s="1" t="s">
        <v>6</v>
      </c>
      <c r="B15" s="6">
        <v>0.41551820708047099</v>
      </c>
      <c r="C15" s="6">
        <v>0.40459556986694301</v>
      </c>
      <c r="D15" s="6">
        <v>0.455949951231303</v>
      </c>
      <c r="E15" s="6">
        <v>0.40843416246735098</v>
      </c>
      <c r="H15" s="1" t="s">
        <v>24</v>
      </c>
      <c r="I15" s="2" t="s">
        <v>20</v>
      </c>
      <c r="J15" s="2" t="s">
        <v>21</v>
      </c>
      <c r="K15" s="2" t="s">
        <v>22</v>
      </c>
      <c r="L15" s="2" t="s">
        <v>23</v>
      </c>
      <c r="P15" s="3"/>
      <c r="Q15" s="3"/>
      <c r="R15" s="3"/>
      <c r="S15" s="3"/>
      <c r="T15" s="3"/>
      <c r="U15" s="3"/>
      <c r="V15" s="3"/>
      <c r="W15" s="3"/>
      <c r="X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3">
      <c r="A16" s="1" t="s">
        <v>7</v>
      </c>
      <c r="B16" s="10">
        <v>0.52619889930004704</v>
      </c>
      <c r="C16" s="10">
        <v>0.54445915729136296</v>
      </c>
      <c r="D16" s="10">
        <v>0.48850778001147299</v>
      </c>
      <c r="E16" s="10">
        <v>0.53679919300991896</v>
      </c>
      <c r="H16" s="1" t="s">
        <v>10</v>
      </c>
      <c r="I16" s="7">
        <v>2.19460635341647E-2</v>
      </c>
      <c r="J16" s="7">
        <v>2.1075987773558E-2</v>
      </c>
      <c r="K16" s="7">
        <v>4.2087300222820999E-2</v>
      </c>
      <c r="L16" s="7">
        <v>1.67952414868212E-2</v>
      </c>
      <c r="P16" s="1" t="s">
        <v>19</v>
      </c>
      <c r="Q16" s="3"/>
      <c r="R16" s="3"/>
      <c r="S16" s="3"/>
      <c r="T16" s="3"/>
      <c r="U16" s="3"/>
      <c r="V16" s="3"/>
      <c r="W16" s="3"/>
      <c r="X16" s="3"/>
      <c r="AA16" s="1" t="s">
        <v>19</v>
      </c>
      <c r="AL16" s="1" t="s">
        <v>19</v>
      </c>
      <c r="AM16" s="3"/>
      <c r="AN16" s="3"/>
      <c r="AO16" s="3"/>
      <c r="AP16" s="3"/>
      <c r="AQ16" s="3"/>
      <c r="AR16" s="3"/>
      <c r="AS16" s="3"/>
      <c r="AT16" s="3"/>
    </row>
    <row r="17" spans="1:46" x14ac:dyDescent="0.3">
      <c r="A17" s="1" t="s">
        <v>8</v>
      </c>
      <c r="B17" s="6">
        <v>5.0348169535255997E-2</v>
      </c>
      <c r="C17" s="6">
        <v>4.4196112764376301E-2</v>
      </c>
      <c r="D17" s="6">
        <v>4.8379866443561903E-2</v>
      </c>
      <c r="E17" s="6">
        <v>4.8699562767633299E-2</v>
      </c>
      <c r="H17" s="1" t="s">
        <v>11</v>
      </c>
      <c r="I17" s="7">
        <v>0.115658053069204</v>
      </c>
      <c r="J17" s="7">
        <v>0.11838525733034</v>
      </c>
      <c r="K17" s="7">
        <v>9.2473917683886894E-2</v>
      </c>
      <c r="L17" s="7">
        <v>9.2775110703244304E-2</v>
      </c>
      <c r="P17" s="3"/>
      <c r="Q17" s="1" t="s">
        <v>25</v>
      </c>
      <c r="R17" s="1" t="s">
        <v>26</v>
      </c>
      <c r="S17" s="1" t="s">
        <v>15</v>
      </c>
      <c r="T17" s="1" t="s">
        <v>16</v>
      </c>
      <c r="U17" s="1" t="s">
        <v>27</v>
      </c>
      <c r="V17" s="1" t="s">
        <v>17</v>
      </c>
      <c r="W17" s="1" t="s">
        <v>28</v>
      </c>
      <c r="X17" s="1" t="s">
        <v>29</v>
      </c>
      <c r="AB17" s="1" t="s">
        <v>25</v>
      </c>
      <c r="AC17" s="1" t="s">
        <v>26</v>
      </c>
      <c r="AD17" s="1" t="s">
        <v>15</v>
      </c>
      <c r="AE17" s="1" t="s">
        <v>16</v>
      </c>
      <c r="AF17" s="1" t="s">
        <v>27</v>
      </c>
      <c r="AG17" s="1" t="s">
        <v>17</v>
      </c>
      <c r="AH17" s="1" t="s">
        <v>28</v>
      </c>
      <c r="AI17" s="1" t="s">
        <v>29</v>
      </c>
      <c r="AL17" s="3"/>
      <c r="AM17" s="1" t="s">
        <v>25</v>
      </c>
      <c r="AN17" s="1" t="s">
        <v>26</v>
      </c>
      <c r="AO17" s="1" t="s">
        <v>15</v>
      </c>
      <c r="AP17" s="1" t="s">
        <v>16</v>
      </c>
      <c r="AQ17" s="1" t="s">
        <v>27</v>
      </c>
      <c r="AR17" s="1" t="s">
        <v>17</v>
      </c>
      <c r="AS17" s="1" t="s">
        <v>28</v>
      </c>
      <c r="AT17" s="1" t="s">
        <v>29</v>
      </c>
    </row>
    <row r="18" spans="1:46" x14ac:dyDescent="0.3">
      <c r="A18" s="1" t="s">
        <v>9</v>
      </c>
      <c r="B18" s="6">
        <v>7.9347240842255907E-3</v>
      </c>
      <c r="C18" s="6">
        <v>6.7491600773185497E-3</v>
      </c>
      <c r="D18" s="6">
        <v>7.1624023136618699E-3</v>
      </c>
      <c r="E18" s="6">
        <v>6.0670817550963199E-3</v>
      </c>
      <c r="H18" s="1" t="s">
        <v>12</v>
      </c>
      <c r="I18" s="7">
        <v>0.33397028905117898</v>
      </c>
      <c r="J18" s="7">
        <v>0.32272155462955099</v>
      </c>
      <c r="K18" s="7">
        <v>0.35781767316291802</v>
      </c>
      <c r="L18" s="7">
        <v>0.35379406814939901</v>
      </c>
      <c r="P18" s="3">
        <v>1</v>
      </c>
      <c r="Q18" s="3" t="s">
        <v>30</v>
      </c>
      <c r="R18" s="4">
        <v>38373</v>
      </c>
      <c r="S18" s="6">
        <v>-6.7299976703853997E-3</v>
      </c>
      <c r="T18" s="6">
        <v>8.7177017225747999E-2</v>
      </c>
      <c r="U18" s="6" t="s">
        <v>11</v>
      </c>
      <c r="V18" s="6">
        <v>6.2761999002297994E-2</v>
      </c>
      <c r="W18" s="3">
        <v>0</v>
      </c>
      <c r="X18" s="11">
        <v>13.085699999999999</v>
      </c>
      <c r="AA18">
        <v>1</v>
      </c>
      <c r="AB18" t="s">
        <v>31</v>
      </c>
      <c r="AC18" s="5">
        <v>25108</v>
      </c>
      <c r="AD18" s="7">
        <v>1.5933715742511001E-4</v>
      </c>
      <c r="AE18" s="7">
        <v>0.29169667661282001</v>
      </c>
      <c r="AF18" s="7" t="s">
        <v>13</v>
      </c>
      <c r="AG18" s="7">
        <v>3.0516797121882398E-2</v>
      </c>
      <c r="AH18">
        <v>2</v>
      </c>
      <c r="AI18" s="12">
        <v>11.044</v>
      </c>
      <c r="AL18" s="3">
        <v>1</v>
      </c>
      <c r="AM18" s="3" t="s">
        <v>32</v>
      </c>
      <c r="AN18" s="4">
        <v>7702</v>
      </c>
      <c r="AO18" s="6">
        <v>-7.1824536032778899E-2</v>
      </c>
      <c r="AP18" s="6">
        <v>0.18510540083089699</v>
      </c>
      <c r="AQ18" s="6" t="s">
        <v>13</v>
      </c>
      <c r="AR18" s="6">
        <v>0.115321844071451</v>
      </c>
      <c r="AS18" s="3">
        <v>0</v>
      </c>
      <c r="AT18" s="11">
        <v>3.5377000000000001</v>
      </c>
    </row>
    <row r="19" spans="1:46" x14ac:dyDescent="0.3">
      <c r="H19" s="9" t="s">
        <v>13</v>
      </c>
      <c r="I19" s="7">
        <v>0.37269714851499502</v>
      </c>
      <c r="J19" s="7">
        <v>0.38350303841244199</v>
      </c>
      <c r="K19" s="7">
        <v>0.37728378785531802</v>
      </c>
      <c r="L19" s="7">
        <v>0.38708325453304798</v>
      </c>
      <c r="P19" s="3">
        <v>2</v>
      </c>
      <c r="Q19" s="3" t="s">
        <v>33</v>
      </c>
      <c r="R19" s="4">
        <v>23927</v>
      </c>
      <c r="S19" s="6">
        <v>-0.14604375602269901</v>
      </c>
      <c r="T19" s="6">
        <v>-0.108000298240382</v>
      </c>
      <c r="U19" s="6" t="s">
        <v>34</v>
      </c>
      <c r="V19" s="6">
        <v>3.9134452613243297E-2</v>
      </c>
      <c r="W19" s="3">
        <v>0</v>
      </c>
      <c r="X19" s="11">
        <v>6.0708000000000002</v>
      </c>
      <c r="AA19">
        <v>2</v>
      </c>
      <c r="AB19" t="s">
        <v>35</v>
      </c>
      <c r="AC19" s="5">
        <v>21432</v>
      </c>
      <c r="AD19" s="7" t="e">
        <v>#DIV/0!</v>
      </c>
      <c r="AE19" s="7">
        <v>1.22024241168549</v>
      </c>
      <c r="AF19" s="7" t="s">
        <v>11</v>
      </c>
      <c r="AG19" s="7">
        <v>2.6048908551704001E-2</v>
      </c>
      <c r="AH19">
        <v>14</v>
      </c>
      <c r="AI19" s="12">
        <v>3.2650999999999999</v>
      </c>
      <c r="AL19" s="3">
        <v>2</v>
      </c>
      <c r="AM19" s="3" t="s">
        <v>36</v>
      </c>
      <c r="AN19" s="4">
        <v>5178</v>
      </c>
      <c r="AO19" s="6">
        <v>-0.55288835161039596</v>
      </c>
      <c r="AP19" s="6">
        <v>-9.1260091260091297E-2</v>
      </c>
      <c r="AQ19" s="6" t="s">
        <v>13</v>
      </c>
      <c r="AR19" s="6">
        <v>7.7530058244868E-2</v>
      </c>
      <c r="AS19" s="3">
        <v>0</v>
      </c>
      <c r="AT19" s="11">
        <v>2.8437000000000001</v>
      </c>
    </row>
    <row r="20" spans="1:46" x14ac:dyDescent="0.3">
      <c r="H20" s="1" t="s">
        <v>14</v>
      </c>
      <c r="I20" s="7">
        <v>0.155728445830458</v>
      </c>
      <c r="J20" s="7">
        <v>0.15431416185411001</v>
      </c>
      <c r="K20" s="7">
        <v>0.130337321075056</v>
      </c>
      <c r="L20" s="7">
        <v>0.14955232512748701</v>
      </c>
      <c r="P20" s="3">
        <v>3</v>
      </c>
      <c r="Q20" s="3" t="s">
        <v>37</v>
      </c>
      <c r="R20" s="4">
        <v>18583</v>
      </c>
      <c r="S20" s="6">
        <v>0.343478889531521</v>
      </c>
      <c r="T20" s="6">
        <v>5.0295262816352997</v>
      </c>
      <c r="U20" s="6" t="s">
        <v>13</v>
      </c>
      <c r="V20" s="6">
        <v>3.0393928737907E-2</v>
      </c>
      <c r="W20" s="3">
        <v>57</v>
      </c>
      <c r="X20" s="11">
        <v>5.2365000000000004</v>
      </c>
      <c r="AA20">
        <v>3</v>
      </c>
      <c r="AB20" t="s">
        <v>38</v>
      </c>
      <c r="AC20" s="5">
        <v>20808</v>
      </c>
      <c r="AD20" s="7" t="e">
        <v>#DIV/0!</v>
      </c>
      <c r="AE20" s="7">
        <v>-9.09567122243915E-3</v>
      </c>
      <c r="AF20" s="7" t="s">
        <v>13</v>
      </c>
      <c r="AG20" s="7">
        <v>2.52904856823375E-2</v>
      </c>
      <c r="AH20">
        <v>-1</v>
      </c>
      <c r="AI20" s="12">
        <v>9.8878000000000004</v>
      </c>
      <c r="AL20" s="3">
        <v>3</v>
      </c>
      <c r="AM20" s="3" t="s">
        <v>39</v>
      </c>
      <c r="AN20" s="4">
        <v>5070</v>
      </c>
      <c r="AO20" s="6">
        <v>0.61670918367346905</v>
      </c>
      <c r="AP20" s="6">
        <v>-8.5992428339643004E-2</v>
      </c>
      <c r="AQ20" s="6" t="s">
        <v>13</v>
      </c>
      <c r="AR20" s="6">
        <v>7.5912977076377106E-2</v>
      </c>
      <c r="AS20" s="3">
        <v>1</v>
      </c>
      <c r="AT20" s="11">
        <v>2.5701000000000001</v>
      </c>
    </row>
    <row r="21" spans="1:46" x14ac:dyDescent="0.3">
      <c r="P21" s="3">
        <v>4</v>
      </c>
      <c r="Q21" s="3" t="s">
        <v>40</v>
      </c>
      <c r="R21" s="4">
        <v>15039</v>
      </c>
      <c r="S21" s="6">
        <v>-0.43648830935251798</v>
      </c>
      <c r="T21" s="6">
        <v>0.21360555196901199</v>
      </c>
      <c r="U21" s="6" t="s">
        <v>10</v>
      </c>
      <c r="V21" s="6">
        <v>2.45974435930357E-2</v>
      </c>
      <c r="W21" s="3">
        <v>2</v>
      </c>
      <c r="X21" s="11">
        <v>5.1855000000000002</v>
      </c>
      <c r="AA21">
        <v>4</v>
      </c>
      <c r="AB21" t="s">
        <v>41</v>
      </c>
      <c r="AC21" s="5">
        <v>19188</v>
      </c>
      <c r="AD21" s="7" t="e">
        <v>#DIV/0!</v>
      </c>
      <c r="AE21" s="7">
        <v>-0.10428531416301</v>
      </c>
      <c r="AF21" s="7" t="s">
        <v>13</v>
      </c>
      <c r="AG21" s="7">
        <v>2.33215032330206E-2</v>
      </c>
      <c r="AH21">
        <v>-3</v>
      </c>
      <c r="AI21" s="12">
        <v>6.9326999999999996</v>
      </c>
      <c r="AL21" s="3">
        <v>4</v>
      </c>
      <c r="AM21" s="3" t="s">
        <v>42</v>
      </c>
      <c r="AN21" s="4">
        <v>4679</v>
      </c>
      <c r="AO21" s="6" t="e">
        <v>#DIV/0!</v>
      </c>
      <c r="AP21" s="6">
        <v>-0.17259062776304199</v>
      </c>
      <c r="AQ21" s="6" t="s">
        <v>12</v>
      </c>
      <c r="AR21" s="6">
        <v>7.0058544327488897E-2</v>
      </c>
      <c r="AS21" s="3">
        <v>-1</v>
      </c>
      <c r="AT21" s="11">
        <v>2.93</v>
      </c>
    </row>
    <row r="22" spans="1:46" x14ac:dyDescent="0.3">
      <c r="P22" s="3">
        <v>5</v>
      </c>
      <c r="Q22" s="3" t="s">
        <v>43</v>
      </c>
      <c r="R22" s="4">
        <v>13847</v>
      </c>
      <c r="S22" s="6">
        <v>0.40379156528791599</v>
      </c>
      <c r="T22" s="6">
        <v>7.2579395817196093E-2</v>
      </c>
      <c r="U22" s="6" t="s">
        <v>12</v>
      </c>
      <c r="V22" s="6">
        <v>2.2647835722638801E-2</v>
      </c>
      <c r="W22" s="3">
        <v>0</v>
      </c>
      <c r="X22" s="11">
        <v>4.6519000000000004</v>
      </c>
      <c r="AA22">
        <v>5</v>
      </c>
      <c r="AB22" t="s">
        <v>44</v>
      </c>
      <c r="AC22" s="5">
        <v>18444</v>
      </c>
      <c r="AD22" s="7" t="e">
        <v>#DIV/0!</v>
      </c>
      <c r="AE22" s="7">
        <v>3.54733727810651</v>
      </c>
      <c r="AF22" s="7" t="s">
        <v>13</v>
      </c>
      <c r="AG22" s="7">
        <v>2.2417229811852801E-2</v>
      </c>
      <c r="AH22">
        <v>50</v>
      </c>
      <c r="AI22" s="12">
        <v>2.3279999999999998</v>
      </c>
      <c r="AL22" s="3">
        <v>5</v>
      </c>
      <c r="AM22" s="3" t="s">
        <v>45</v>
      </c>
      <c r="AN22" s="4">
        <v>4559</v>
      </c>
      <c r="AO22" s="6">
        <v>-0.21545345035277899</v>
      </c>
      <c r="AP22" s="6">
        <v>6.2456303891866599E-2</v>
      </c>
      <c r="AQ22" s="6" t="s">
        <v>13</v>
      </c>
      <c r="AR22" s="6">
        <v>6.82617874736101E-2</v>
      </c>
      <c r="AS22" s="3">
        <v>3</v>
      </c>
      <c r="AT22" s="11">
        <v>2.3662000000000001</v>
      </c>
    </row>
    <row r="23" spans="1:46" x14ac:dyDescent="0.3">
      <c r="P23" s="3">
        <v>6</v>
      </c>
      <c r="Q23" s="3" t="s">
        <v>46</v>
      </c>
      <c r="R23" s="4">
        <v>13364</v>
      </c>
      <c r="S23" s="6">
        <v>-0.39024501528493899</v>
      </c>
      <c r="T23" s="6">
        <v>8.2368186604033305E-2</v>
      </c>
      <c r="U23" s="6" t="s">
        <v>12</v>
      </c>
      <c r="V23" s="6">
        <v>2.1857851996630699E-2</v>
      </c>
      <c r="W23" s="3">
        <v>1</v>
      </c>
      <c r="X23" s="11">
        <v>9.1755999999999993</v>
      </c>
      <c r="AA23">
        <v>6</v>
      </c>
      <c r="AB23" t="s">
        <v>47</v>
      </c>
      <c r="AC23" s="5">
        <v>16894</v>
      </c>
      <c r="AD23" s="7">
        <v>0.42553371023542302</v>
      </c>
      <c r="AE23" s="7">
        <v>6.20481549003584E-2</v>
      </c>
      <c r="AF23" s="7" t="s">
        <v>11</v>
      </c>
      <c r="AG23" s="7">
        <v>2.0533326851086602E-2</v>
      </c>
      <c r="AH23">
        <v>-2</v>
      </c>
      <c r="AI23" s="12">
        <v>6.4710000000000001</v>
      </c>
      <c r="AL23" s="3">
        <v>6</v>
      </c>
      <c r="AM23" s="3" t="s">
        <v>48</v>
      </c>
      <c r="AN23" s="4">
        <v>4330</v>
      </c>
      <c r="AO23" s="6">
        <v>-0.474896919718651</v>
      </c>
      <c r="AP23" s="6">
        <v>-9.5844643975777896E-2</v>
      </c>
      <c r="AQ23" s="6" t="s">
        <v>13</v>
      </c>
      <c r="AR23" s="6">
        <v>6.4832976477458198E-2</v>
      </c>
      <c r="AS23" s="3">
        <v>0</v>
      </c>
      <c r="AT23" s="11">
        <v>1.8255999999999999</v>
      </c>
    </row>
    <row r="24" spans="1:46" x14ac:dyDescent="0.3">
      <c r="P24" s="3">
        <v>7</v>
      </c>
      <c r="Q24" s="3" t="s">
        <v>49</v>
      </c>
      <c r="R24" s="4">
        <v>12673</v>
      </c>
      <c r="S24" s="6">
        <v>-0.31799591002045002</v>
      </c>
      <c r="T24" s="6">
        <v>0.26527555910543099</v>
      </c>
      <c r="U24" s="6" t="s">
        <v>13</v>
      </c>
      <c r="V24" s="6">
        <v>2.0727668239546599E-2</v>
      </c>
      <c r="W24" s="3">
        <v>1</v>
      </c>
      <c r="X24" s="11">
        <v>6.2694999999999999</v>
      </c>
      <c r="AA24">
        <v>7</v>
      </c>
      <c r="AB24" t="s">
        <v>50</v>
      </c>
      <c r="AC24" s="5">
        <v>15204</v>
      </c>
      <c r="AD24" s="7">
        <v>7.0101351351351301E-2</v>
      </c>
      <c r="AE24" s="7">
        <v>0.196976854038734</v>
      </c>
      <c r="AF24" s="7" t="s">
        <v>12</v>
      </c>
      <c r="AG24" s="7">
        <v>1.8479264913218899E-2</v>
      </c>
      <c r="AH24">
        <v>2</v>
      </c>
      <c r="AI24" s="12">
        <v>5.9668999999999999</v>
      </c>
      <c r="AL24" s="3">
        <v>7</v>
      </c>
      <c r="AM24" s="3" t="s">
        <v>51</v>
      </c>
      <c r="AN24" s="4">
        <v>3850</v>
      </c>
      <c r="AO24" s="6">
        <v>-0.14311150678833701</v>
      </c>
      <c r="AP24" s="6">
        <v>0.11239526148512</v>
      </c>
      <c r="AQ24" s="6" t="s">
        <v>11</v>
      </c>
      <c r="AR24" s="6">
        <v>5.7645949061943202E-2</v>
      </c>
      <c r="AS24" s="3">
        <v>2</v>
      </c>
      <c r="AT24" s="11">
        <v>1.3989</v>
      </c>
    </row>
    <row r="25" spans="1:46" x14ac:dyDescent="0.3">
      <c r="P25" s="3">
        <v>8</v>
      </c>
      <c r="Q25" s="3" t="s">
        <v>52</v>
      </c>
      <c r="R25" s="4">
        <v>12661</v>
      </c>
      <c r="S25" s="6">
        <v>-6.4573328407831601E-2</v>
      </c>
      <c r="T25" s="6">
        <v>-0.112007294150652</v>
      </c>
      <c r="U25" s="6" t="s">
        <v>11</v>
      </c>
      <c r="V25" s="6">
        <v>2.0708041314676899E-2</v>
      </c>
      <c r="W25" s="3">
        <v>-5</v>
      </c>
      <c r="X25" s="11">
        <v>5.5974000000000004</v>
      </c>
      <c r="AA25">
        <v>8</v>
      </c>
      <c r="AB25" t="s">
        <v>53</v>
      </c>
      <c r="AC25" s="5">
        <v>14508</v>
      </c>
      <c r="AD25" s="7" t="e">
        <v>#DIV/0!</v>
      </c>
      <c r="AE25" s="7">
        <v>5.4207237320157003E-2</v>
      </c>
      <c r="AF25" s="7" t="s">
        <v>12</v>
      </c>
      <c r="AG25" s="7">
        <v>1.7633331712771601E-2</v>
      </c>
      <c r="AH25">
        <v>-3</v>
      </c>
      <c r="AI25" s="12">
        <v>4.8922999999999996</v>
      </c>
      <c r="AL25" s="3">
        <v>8</v>
      </c>
      <c r="AM25" s="3" t="s">
        <v>54</v>
      </c>
      <c r="AN25" s="4">
        <v>3844</v>
      </c>
      <c r="AO25" s="6">
        <v>-0.15497911628929401</v>
      </c>
      <c r="AP25" s="6">
        <v>-0.11121387283237</v>
      </c>
      <c r="AQ25" s="6" t="s">
        <v>13</v>
      </c>
      <c r="AR25" s="6">
        <v>5.7556111219249299E-2</v>
      </c>
      <c r="AS25" s="3">
        <v>-1</v>
      </c>
      <c r="AT25" s="11">
        <v>1.8525</v>
      </c>
    </row>
    <row r="26" spans="1:46" x14ac:dyDescent="0.3">
      <c r="P26" s="3">
        <v>9</v>
      </c>
      <c r="Q26" s="3" t="s">
        <v>55</v>
      </c>
      <c r="R26" s="4">
        <v>12258</v>
      </c>
      <c r="S26" s="6" t="e">
        <v>#DIV/0!</v>
      </c>
      <c r="T26" s="6">
        <v>1.5479110372064</v>
      </c>
      <c r="U26" s="6" t="s">
        <v>11</v>
      </c>
      <c r="V26" s="6">
        <v>2.00489037544672E-2</v>
      </c>
      <c r="W26" s="3">
        <v>32</v>
      </c>
      <c r="X26" s="11">
        <v>1.7117</v>
      </c>
      <c r="AA26">
        <v>9</v>
      </c>
      <c r="AB26" t="s">
        <v>56</v>
      </c>
      <c r="AC26" s="5">
        <v>14400</v>
      </c>
      <c r="AD26" s="7">
        <v>0.64327285176309501</v>
      </c>
      <c r="AE26" s="7">
        <v>5.5022345959411002E-2</v>
      </c>
      <c r="AF26" s="7" t="s">
        <v>11</v>
      </c>
      <c r="AG26" s="7">
        <v>1.75020662161505E-2</v>
      </c>
      <c r="AH26">
        <v>-3</v>
      </c>
      <c r="AI26" s="12">
        <v>5.1487999999999996</v>
      </c>
      <c r="AL26" s="3">
        <v>9</v>
      </c>
      <c r="AM26" s="3" t="s">
        <v>57</v>
      </c>
      <c r="AN26" s="4">
        <v>3839</v>
      </c>
      <c r="AO26" s="6">
        <v>9.2008412197686108E-3</v>
      </c>
      <c r="AP26" s="6">
        <v>-0.20435233160621799</v>
      </c>
      <c r="AQ26" s="6" t="s">
        <v>13</v>
      </c>
      <c r="AR26" s="6">
        <v>5.7481246350337599E-2</v>
      </c>
      <c r="AS26" s="3">
        <v>-4</v>
      </c>
      <c r="AT26" s="11">
        <v>1.8839999999999999</v>
      </c>
    </row>
    <row r="27" spans="1:46" x14ac:dyDescent="0.3">
      <c r="P27" s="3">
        <v>10</v>
      </c>
      <c r="Q27" s="3" t="s">
        <v>58</v>
      </c>
      <c r="R27" s="4">
        <v>12150</v>
      </c>
      <c r="S27" s="6">
        <v>-0.57395329265726902</v>
      </c>
      <c r="T27" s="6">
        <v>-0.107405230678813</v>
      </c>
      <c r="U27" s="6" t="s">
        <v>12</v>
      </c>
      <c r="V27" s="6">
        <v>1.9872261430639301E-2</v>
      </c>
      <c r="W27" s="3">
        <v>-6</v>
      </c>
      <c r="X27" s="11">
        <v>5.7126999999999999</v>
      </c>
      <c r="AA27">
        <v>10</v>
      </c>
      <c r="AB27" t="s">
        <v>59</v>
      </c>
      <c r="AC27" s="5">
        <v>14295</v>
      </c>
      <c r="AD27" s="7" t="e">
        <v>#DIV/0!</v>
      </c>
      <c r="AE27" s="7">
        <v>0.10813953488372099</v>
      </c>
      <c r="AF27" s="7" t="s">
        <v>13</v>
      </c>
      <c r="AG27" s="7">
        <v>1.7374446983324399E-2</v>
      </c>
      <c r="AH27">
        <v>-2</v>
      </c>
      <c r="AI27" s="12">
        <v>6.992</v>
      </c>
      <c r="AL27" s="3">
        <v>10</v>
      </c>
      <c r="AM27" s="3" t="s">
        <v>60</v>
      </c>
      <c r="AN27" s="4">
        <v>2587</v>
      </c>
      <c r="AO27" s="6">
        <v>-0.58535021638082996</v>
      </c>
      <c r="AP27" s="6">
        <v>-8.4247787610619504E-2</v>
      </c>
      <c r="AQ27" s="6" t="s">
        <v>11</v>
      </c>
      <c r="AR27" s="6">
        <v>3.87350831748694E-2</v>
      </c>
      <c r="AS27" s="3">
        <v>0</v>
      </c>
      <c r="AT27" s="11">
        <v>1.5972999999999999</v>
      </c>
    </row>
    <row r="28" spans="1:46" x14ac:dyDescent="0.3">
      <c r="P28" s="3">
        <v>11</v>
      </c>
      <c r="Q28" s="3" t="s">
        <v>61</v>
      </c>
      <c r="R28" s="4">
        <v>11840</v>
      </c>
      <c r="S28" s="6">
        <v>184</v>
      </c>
      <c r="T28" s="6">
        <v>0.25185028547261601</v>
      </c>
      <c r="U28" s="6" t="s">
        <v>12</v>
      </c>
      <c r="V28" s="6">
        <v>1.93652325381703E-2</v>
      </c>
      <c r="W28" s="3">
        <v>0</v>
      </c>
      <c r="X28" s="11">
        <v>4.2385000000000002</v>
      </c>
      <c r="AA28">
        <v>11</v>
      </c>
      <c r="AB28" t="s">
        <v>62</v>
      </c>
      <c r="AC28" s="5">
        <v>12307</v>
      </c>
      <c r="AD28" s="7">
        <v>-0.137802998458736</v>
      </c>
      <c r="AE28" s="7">
        <v>9.7859054415700295E-2</v>
      </c>
      <c r="AF28" s="7" t="s">
        <v>12</v>
      </c>
      <c r="AG28" s="7">
        <v>1.4958189508483599E-2</v>
      </c>
      <c r="AH28">
        <v>0</v>
      </c>
      <c r="AI28" s="12">
        <v>6.6765999999999996</v>
      </c>
      <c r="AL28" s="3">
        <v>11</v>
      </c>
      <c r="AM28" s="3" t="s">
        <v>63</v>
      </c>
      <c r="AN28" s="4">
        <v>1804</v>
      </c>
      <c r="AO28" s="6">
        <v>-0.66349561648946098</v>
      </c>
      <c r="AP28" s="6">
        <v>-0.118279569892473</v>
      </c>
      <c r="AQ28" s="6" t="s">
        <v>11</v>
      </c>
      <c r="AR28" s="6">
        <v>2.70112447033105E-2</v>
      </c>
      <c r="AS28" s="3">
        <v>1</v>
      </c>
      <c r="AT28" s="11">
        <v>1.1677</v>
      </c>
    </row>
    <row r="29" spans="1:46" x14ac:dyDescent="0.3">
      <c r="P29" s="3">
        <v>12</v>
      </c>
      <c r="Q29" s="3" t="s">
        <v>64</v>
      </c>
      <c r="R29" s="4">
        <v>10580</v>
      </c>
      <c r="S29" s="6">
        <v>-0.37961768500058601</v>
      </c>
      <c r="T29" s="6">
        <v>0.20983419096626599</v>
      </c>
      <c r="U29" s="6" t="s">
        <v>13</v>
      </c>
      <c r="V29" s="6">
        <v>1.73044054268447E-2</v>
      </c>
      <c r="W29" s="3">
        <v>1</v>
      </c>
      <c r="X29" s="11">
        <v>6.2651000000000003</v>
      </c>
      <c r="AA29">
        <v>12</v>
      </c>
      <c r="AB29" t="s">
        <v>65</v>
      </c>
      <c r="AC29" s="5">
        <v>11907</v>
      </c>
      <c r="AD29" s="7">
        <v>-9.9455453032824104E-2</v>
      </c>
      <c r="AE29" s="7">
        <v>0.17414456168030801</v>
      </c>
      <c r="AF29" s="7" t="s">
        <v>12</v>
      </c>
      <c r="AG29" s="7">
        <v>1.4472021002479501E-2</v>
      </c>
      <c r="AH29">
        <v>1</v>
      </c>
      <c r="AI29" s="12">
        <v>6.5522999999999998</v>
      </c>
      <c r="AL29" s="3">
        <v>12</v>
      </c>
      <c r="AM29" s="3" t="s">
        <v>66</v>
      </c>
      <c r="AN29" s="4">
        <v>1703</v>
      </c>
      <c r="AO29" s="6">
        <v>0.44444444444444398</v>
      </c>
      <c r="AP29" s="6">
        <v>2.4826175869120699</v>
      </c>
      <c r="AQ29" s="6" t="s">
        <v>13</v>
      </c>
      <c r="AR29" s="6">
        <v>2.5498974351295899E-2</v>
      </c>
      <c r="AS29" s="3">
        <v>11</v>
      </c>
      <c r="AT29" s="11">
        <v>0.39419999999999999</v>
      </c>
    </row>
    <row r="30" spans="1:46" x14ac:dyDescent="0.3">
      <c r="P30" s="3">
        <v>13</v>
      </c>
      <c r="Q30" s="3" t="s">
        <v>67</v>
      </c>
      <c r="R30" s="4">
        <v>10319</v>
      </c>
      <c r="S30" s="6">
        <v>-1.8546699638577101E-2</v>
      </c>
      <c r="T30" s="6">
        <v>3.5108837395927399E-2</v>
      </c>
      <c r="U30" s="6" t="s">
        <v>34</v>
      </c>
      <c r="V30" s="6">
        <v>1.6877519810927302E-2</v>
      </c>
      <c r="W30" s="3">
        <v>-4</v>
      </c>
      <c r="X30" s="11">
        <v>5.1512000000000002</v>
      </c>
      <c r="AA30">
        <v>13</v>
      </c>
      <c r="AB30" t="s">
        <v>68</v>
      </c>
      <c r="AC30" s="5">
        <v>11661</v>
      </c>
      <c r="AD30" s="7">
        <v>36.375</v>
      </c>
      <c r="AE30" s="7">
        <v>-0.13692546813707401</v>
      </c>
      <c r="AF30" s="7" t="s">
        <v>34</v>
      </c>
      <c r="AG30" s="7">
        <v>1.41730273712869E-2</v>
      </c>
      <c r="AH30">
        <v>-6</v>
      </c>
      <c r="AI30" s="12">
        <v>7.2544000000000004</v>
      </c>
      <c r="AL30" s="3">
        <v>13</v>
      </c>
      <c r="AM30" s="3" t="s">
        <v>69</v>
      </c>
      <c r="AN30" s="4">
        <v>1564</v>
      </c>
      <c r="AO30" s="6">
        <v>-0.39049103663289197</v>
      </c>
      <c r="AP30" s="6">
        <v>-0.24626506024096401</v>
      </c>
      <c r="AQ30" s="6" t="s">
        <v>13</v>
      </c>
      <c r="AR30" s="6">
        <v>2.3417730995552999E-2</v>
      </c>
      <c r="AS30" s="3">
        <v>-2</v>
      </c>
      <c r="AT30" s="11">
        <v>1.1972</v>
      </c>
    </row>
    <row r="31" spans="1:46" x14ac:dyDescent="0.3">
      <c r="P31" s="3">
        <v>14</v>
      </c>
      <c r="Q31" s="3" t="s">
        <v>70</v>
      </c>
      <c r="R31" s="4">
        <v>9735</v>
      </c>
      <c r="S31" s="6">
        <v>-0.37823337804176999</v>
      </c>
      <c r="T31" s="6">
        <v>7.3792190602250105E-2</v>
      </c>
      <c r="U31" s="6" t="s">
        <v>13</v>
      </c>
      <c r="V31" s="6">
        <v>1.59223428005986E-2</v>
      </c>
      <c r="W31" s="3">
        <v>-2</v>
      </c>
      <c r="X31" s="11">
        <v>5.0791000000000004</v>
      </c>
      <c r="AA31">
        <v>14</v>
      </c>
      <c r="AB31" t="s">
        <v>71</v>
      </c>
      <c r="AC31" s="5">
        <v>11277</v>
      </c>
      <c r="AD31" s="7">
        <v>-0.385683935283543</v>
      </c>
      <c r="AE31" s="7">
        <v>0.21179883945841399</v>
      </c>
      <c r="AF31" s="7" t="s">
        <v>13</v>
      </c>
      <c r="AG31" s="7">
        <v>1.3706305605522899E-2</v>
      </c>
      <c r="AH31">
        <v>4</v>
      </c>
      <c r="AI31" s="12">
        <v>6.3992000000000004</v>
      </c>
      <c r="AL31" s="3">
        <v>14</v>
      </c>
      <c r="AM31" s="3" t="s">
        <v>72</v>
      </c>
      <c r="AN31" s="4">
        <v>1488</v>
      </c>
      <c r="AO31" s="6">
        <v>-0.45454545454545497</v>
      </c>
      <c r="AP31" s="6">
        <v>-7.2319201995012503E-2</v>
      </c>
      <c r="AQ31" s="6" t="s">
        <v>13</v>
      </c>
      <c r="AR31" s="6">
        <v>2.2279784988096501E-2</v>
      </c>
      <c r="AS31" s="3">
        <v>-1</v>
      </c>
      <c r="AT31" s="11">
        <v>0.6573</v>
      </c>
    </row>
    <row r="32" spans="1:46" x14ac:dyDescent="0.3">
      <c r="P32" s="3">
        <v>15</v>
      </c>
      <c r="Q32" s="3" t="s">
        <v>73</v>
      </c>
      <c r="R32" s="4">
        <v>9664</v>
      </c>
      <c r="S32" s="6">
        <v>-0.68605028913001098</v>
      </c>
      <c r="T32" s="6">
        <v>-2.70814456860968E-2</v>
      </c>
      <c r="U32" s="6" t="s">
        <v>11</v>
      </c>
      <c r="V32" s="6">
        <v>1.5806216828452499E-2</v>
      </c>
      <c r="W32" s="3">
        <v>-5</v>
      </c>
      <c r="X32" s="11">
        <v>4.5144000000000002</v>
      </c>
      <c r="AA32">
        <v>15</v>
      </c>
      <c r="AB32" t="s">
        <v>74</v>
      </c>
      <c r="AC32" s="5">
        <v>11160</v>
      </c>
      <c r="AD32" s="7">
        <v>0.32967949481711001</v>
      </c>
      <c r="AE32" s="7">
        <v>-6.7435447480571606E-2</v>
      </c>
      <c r="AF32" s="7" t="s">
        <v>12</v>
      </c>
      <c r="AG32" s="7">
        <v>1.3564101317516701E-2</v>
      </c>
      <c r="AH32">
        <v>-5</v>
      </c>
      <c r="AI32" s="12">
        <v>3.9908000000000001</v>
      </c>
      <c r="AL32" s="3">
        <v>15</v>
      </c>
      <c r="AM32" s="3" t="s">
        <v>75</v>
      </c>
      <c r="AN32" s="4">
        <v>1221</v>
      </c>
      <c r="AO32" s="6">
        <v>-0.551267916207277</v>
      </c>
      <c r="AP32" s="6">
        <v>-8.19548872180451E-2</v>
      </c>
      <c r="AQ32" s="6" t="s">
        <v>12</v>
      </c>
      <c r="AR32" s="6">
        <v>1.82820009882163E-2</v>
      </c>
      <c r="AS32" s="3">
        <v>0</v>
      </c>
      <c r="AT32" s="11">
        <v>0.83199999999999996</v>
      </c>
    </row>
    <row r="33" spans="16:46" x14ac:dyDescent="0.3">
      <c r="P33" s="3"/>
      <c r="Q33" s="3"/>
      <c r="R33" s="3"/>
      <c r="S33" s="3"/>
      <c r="T33" s="3"/>
      <c r="U33" s="3"/>
      <c r="V33" s="3"/>
      <c r="W33" s="3"/>
      <c r="X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6:46" x14ac:dyDescent="0.3">
      <c r="P34" s="3"/>
      <c r="Q34" s="3"/>
      <c r="R34" s="3"/>
      <c r="S34" s="3"/>
      <c r="T34" s="3"/>
      <c r="U34" s="3"/>
      <c r="V34" s="3"/>
      <c r="W34" s="3"/>
      <c r="X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6:46" x14ac:dyDescent="0.3">
      <c r="P35" s="3"/>
      <c r="Q35" s="3"/>
      <c r="R35" s="3"/>
      <c r="S35" s="3"/>
      <c r="T35" s="3"/>
      <c r="U35" s="1" t="s">
        <v>76</v>
      </c>
      <c r="V35" s="6">
        <v>0.368026103810077</v>
      </c>
      <c r="W35" s="3"/>
      <c r="X35" s="3"/>
      <c r="AF35" s="1" t="s">
        <v>76</v>
      </c>
      <c r="AG35" s="7">
        <v>0.28999100588263899</v>
      </c>
      <c r="AL35" s="3"/>
      <c r="AM35" s="3"/>
      <c r="AN35" s="3"/>
      <c r="AO35" s="3"/>
      <c r="AP35" s="3"/>
      <c r="AQ35" s="3" t="s">
        <v>76</v>
      </c>
      <c r="AR35" s="6">
        <v>0.79982631350412503</v>
      </c>
      <c r="AS35" s="3"/>
      <c r="AT35" s="3"/>
    </row>
  </sheetData>
  <mergeCells count="6">
    <mergeCell ref="AL1:AT2"/>
    <mergeCell ref="AA1:AE2"/>
    <mergeCell ref="AF1:AI2"/>
    <mergeCell ref="P1:X2"/>
    <mergeCell ref="A1:E2"/>
    <mergeCell ref="H1:M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5"/>
  <sheetViews>
    <sheetView topLeftCell="V1" workbookViewId="0">
      <selection activeCell="AC18" sqref="AC18"/>
    </sheetView>
  </sheetViews>
  <sheetFormatPr defaultColWidth="9" defaultRowHeight="14" x14ac:dyDescent="0.3"/>
  <sheetData>
    <row r="1" spans="1:46" x14ac:dyDescent="0.3">
      <c r="A1" s="16" t="s">
        <v>0</v>
      </c>
      <c r="B1" s="17"/>
      <c r="C1" s="17"/>
      <c r="D1" s="17"/>
      <c r="E1" s="17"/>
      <c r="H1" s="16" t="s">
        <v>1</v>
      </c>
      <c r="I1" s="16"/>
      <c r="J1" s="16"/>
      <c r="K1" s="16"/>
      <c r="L1" s="16"/>
      <c r="M1" s="16"/>
      <c r="P1" s="16" t="s">
        <v>2</v>
      </c>
      <c r="Q1" s="16"/>
      <c r="R1" s="16"/>
      <c r="S1" s="16"/>
      <c r="T1" s="16"/>
      <c r="U1" s="16"/>
      <c r="V1" s="16"/>
      <c r="W1" s="16"/>
      <c r="X1" s="16"/>
      <c r="AA1" s="16" t="s">
        <v>3</v>
      </c>
      <c r="AB1" s="17"/>
      <c r="AC1" s="17"/>
      <c r="AD1" s="17"/>
      <c r="AE1" s="17"/>
      <c r="AF1" s="16"/>
      <c r="AG1" s="17"/>
      <c r="AH1" s="17"/>
      <c r="AI1" s="17"/>
      <c r="AL1" s="16" t="s">
        <v>4</v>
      </c>
      <c r="AM1" s="16"/>
      <c r="AN1" s="16"/>
      <c r="AO1" s="16"/>
      <c r="AP1" s="16"/>
      <c r="AQ1" s="16"/>
      <c r="AR1" s="16"/>
      <c r="AS1" s="16"/>
      <c r="AT1" s="16"/>
    </row>
    <row r="2" spans="1:46" x14ac:dyDescent="0.3">
      <c r="A2" s="17"/>
      <c r="B2" s="17"/>
      <c r="C2" s="17"/>
      <c r="D2" s="17"/>
      <c r="E2" s="17"/>
      <c r="H2" s="16"/>
      <c r="I2" s="16"/>
      <c r="J2" s="16"/>
      <c r="K2" s="16"/>
      <c r="L2" s="16"/>
      <c r="M2" s="16"/>
      <c r="P2" s="16"/>
      <c r="Q2" s="16"/>
      <c r="R2" s="16"/>
      <c r="S2" s="16"/>
      <c r="T2" s="16"/>
      <c r="U2" s="16"/>
      <c r="V2" s="16"/>
      <c r="W2" s="16"/>
      <c r="X2" s="16"/>
      <c r="AA2" s="17"/>
      <c r="AB2" s="17"/>
      <c r="AC2" s="17"/>
      <c r="AD2" s="17"/>
      <c r="AE2" s="17"/>
      <c r="AF2" s="17"/>
      <c r="AG2" s="17"/>
      <c r="AH2" s="17"/>
      <c r="AI2" s="17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3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H3" s="1" t="s">
        <v>5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P3" s="1" t="s">
        <v>5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3"/>
      <c r="W3" s="3"/>
      <c r="X3" s="3"/>
      <c r="AA3" s="1" t="s">
        <v>5</v>
      </c>
      <c r="AB3" s="2" t="s">
        <v>11</v>
      </c>
      <c r="AC3" s="2" t="s">
        <v>12</v>
      </c>
      <c r="AD3" s="2" t="s">
        <v>13</v>
      </c>
      <c r="AE3" s="2" t="s">
        <v>14</v>
      </c>
      <c r="AL3" s="1" t="s">
        <v>5</v>
      </c>
      <c r="AM3" s="2" t="s">
        <v>11</v>
      </c>
      <c r="AN3" s="2" t="s">
        <v>12</v>
      </c>
      <c r="AO3" s="2" t="s">
        <v>13</v>
      </c>
      <c r="AP3" s="3"/>
      <c r="AQ3" s="3"/>
      <c r="AR3" s="3"/>
      <c r="AS3" s="3"/>
      <c r="AT3" s="3"/>
    </row>
    <row r="4" spans="1:46" x14ac:dyDescent="0.3">
      <c r="A4" s="1">
        <v>2025</v>
      </c>
      <c r="B4" s="4">
        <v>789855</v>
      </c>
      <c r="C4" s="4">
        <v>818835</v>
      </c>
      <c r="D4" s="4">
        <v>95355</v>
      </c>
      <c r="E4" s="4">
        <v>16116</v>
      </c>
      <c r="H4" s="1">
        <v>2025</v>
      </c>
      <c r="I4" s="5">
        <v>71213</v>
      </c>
      <c r="J4" s="5">
        <v>165379</v>
      </c>
      <c r="K4" s="5">
        <v>624986</v>
      </c>
      <c r="L4" s="5">
        <v>646247</v>
      </c>
      <c r="M4" s="5">
        <v>212336</v>
      </c>
      <c r="P4" s="1">
        <v>2025</v>
      </c>
      <c r="Q4" s="4">
        <v>71213</v>
      </c>
      <c r="R4" s="4">
        <v>103646</v>
      </c>
      <c r="S4" s="4">
        <v>245715</v>
      </c>
      <c r="T4" s="4">
        <v>255922</v>
      </c>
      <c r="U4" s="4">
        <v>113359</v>
      </c>
      <c r="V4" s="3"/>
      <c r="W4" s="3"/>
      <c r="X4" s="3"/>
      <c r="AA4" s="1">
        <v>2025</v>
      </c>
      <c r="AB4" s="5">
        <v>40593</v>
      </c>
      <c r="AC4" s="5">
        <v>372589</v>
      </c>
      <c r="AD4" s="5">
        <v>322792</v>
      </c>
      <c r="AE4" s="5">
        <v>82861</v>
      </c>
      <c r="AL4" s="1">
        <v>2025</v>
      </c>
      <c r="AM4" s="4">
        <v>21140</v>
      </c>
      <c r="AN4" s="4">
        <v>6682</v>
      </c>
      <c r="AO4" s="4">
        <v>67533</v>
      </c>
      <c r="AP4" s="3"/>
      <c r="AQ4" s="3"/>
      <c r="AR4" s="3"/>
      <c r="AS4" s="3"/>
      <c r="AT4" s="3"/>
    </row>
    <row r="5" spans="1:46" x14ac:dyDescent="0.3">
      <c r="A5" s="1">
        <v>2026</v>
      </c>
      <c r="B5" s="4">
        <v>574938</v>
      </c>
      <c r="C5" s="4">
        <v>728083</v>
      </c>
      <c r="D5" s="4">
        <v>69665</v>
      </c>
      <c r="E5" s="4">
        <v>10979</v>
      </c>
      <c r="H5" s="1">
        <v>2026</v>
      </c>
      <c r="I5" s="5">
        <v>30366</v>
      </c>
      <c r="J5" s="5">
        <v>160032</v>
      </c>
      <c r="K5" s="5">
        <v>462103</v>
      </c>
      <c r="L5" s="5">
        <v>515688</v>
      </c>
      <c r="M5" s="5">
        <v>215476</v>
      </c>
      <c r="P5" s="1">
        <v>2026</v>
      </c>
      <c r="Q5" s="4">
        <v>30366</v>
      </c>
      <c r="R5" s="4">
        <v>99256</v>
      </c>
      <c r="S5" s="4">
        <v>172792</v>
      </c>
      <c r="T5" s="4">
        <v>176319</v>
      </c>
      <c r="U5" s="4">
        <v>96205</v>
      </c>
      <c r="V5" s="3"/>
      <c r="W5" s="3"/>
      <c r="X5" s="3"/>
      <c r="AA5" s="1">
        <v>2026</v>
      </c>
      <c r="AB5" s="5">
        <v>51428</v>
      </c>
      <c r="AC5" s="5">
        <v>281264</v>
      </c>
      <c r="AD5" s="5">
        <v>287099</v>
      </c>
      <c r="AE5" s="5">
        <v>108292</v>
      </c>
      <c r="AL5" s="1">
        <v>2026</v>
      </c>
      <c r="AM5" s="4">
        <v>9348</v>
      </c>
      <c r="AN5" s="4">
        <v>8047</v>
      </c>
      <c r="AO5" s="4">
        <v>52270</v>
      </c>
      <c r="AP5" s="3"/>
      <c r="AQ5" s="3"/>
      <c r="AR5" s="3"/>
      <c r="AS5" s="3"/>
      <c r="AT5" s="3"/>
    </row>
    <row r="6" spans="1:46" x14ac:dyDescent="0.3">
      <c r="A6" s="1" t="s">
        <v>15</v>
      </c>
      <c r="B6" s="6">
        <v>-0.27209677725658499</v>
      </c>
      <c r="C6" s="6">
        <v>-0.110830631323771</v>
      </c>
      <c r="D6" s="6">
        <v>-0.26941429395417099</v>
      </c>
      <c r="E6" s="6">
        <v>-0.31875155125341298</v>
      </c>
      <c r="H6" s="1" t="s">
        <v>15</v>
      </c>
      <c r="I6" s="7">
        <v>-0.57358909187929197</v>
      </c>
      <c r="J6" s="7">
        <v>-3.2331795451659498E-2</v>
      </c>
      <c r="K6" s="7">
        <v>-0.26061863785748801</v>
      </c>
      <c r="L6" s="7">
        <v>-0.202026469755372</v>
      </c>
      <c r="M6" s="7">
        <v>1.4787883354683101E-2</v>
      </c>
      <c r="P6" s="1" t="s">
        <v>15</v>
      </c>
      <c r="Q6" s="6">
        <v>-0.57358909187929197</v>
      </c>
      <c r="R6" s="6">
        <v>-4.2355710784786699E-2</v>
      </c>
      <c r="S6" s="6">
        <v>-0.29677878843375499</v>
      </c>
      <c r="T6" s="6">
        <v>-0.31104398996569299</v>
      </c>
      <c r="U6" s="6">
        <v>-0.151324552968886</v>
      </c>
      <c r="V6" s="3"/>
      <c r="W6" s="3"/>
      <c r="X6" s="3"/>
      <c r="AA6" s="1" t="s">
        <v>15</v>
      </c>
      <c r="AB6" s="7">
        <v>0.26691794151700998</v>
      </c>
      <c r="AC6" s="7">
        <v>-0.24510922222609899</v>
      </c>
      <c r="AD6" s="7">
        <v>-0.11057585070261999</v>
      </c>
      <c r="AE6" s="7">
        <v>0.30691157480600101</v>
      </c>
      <c r="AL6" s="1" t="s">
        <v>15</v>
      </c>
      <c r="AM6" s="6">
        <v>-0.55780510879848599</v>
      </c>
      <c r="AN6" s="6">
        <v>0.20428015564202301</v>
      </c>
      <c r="AO6" s="6">
        <v>-0.22600802570595099</v>
      </c>
      <c r="AP6" s="3"/>
      <c r="AQ6" s="3"/>
      <c r="AR6" s="3"/>
      <c r="AS6" s="3"/>
      <c r="AT6" s="3"/>
    </row>
    <row r="7" spans="1:46" x14ac:dyDescent="0.3">
      <c r="A7" s="1" t="s">
        <v>16</v>
      </c>
      <c r="B7" s="6">
        <v>-6.9456763108317193E-2</v>
      </c>
      <c r="C7" s="6">
        <v>-6.9118985762212495E-2</v>
      </c>
      <c r="D7" s="6">
        <v>-7.7944251793419198E-2</v>
      </c>
      <c r="E7" s="6">
        <v>-0.103169416761967</v>
      </c>
      <c r="H7" s="1" t="s">
        <v>16</v>
      </c>
      <c r="I7" s="7">
        <v>-0.14094149598280001</v>
      </c>
      <c r="J7" s="7">
        <v>-2.8102665079790001E-3</v>
      </c>
      <c r="K7" s="7">
        <v>-0.105682104081593</v>
      </c>
      <c r="L7" s="7">
        <v>-0.110847499124965</v>
      </c>
      <c r="M7" s="7">
        <v>0.10345463297725301</v>
      </c>
      <c r="P7" s="1" t="s">
        <v>16</v>
      </c>
      <c r="Q7" s="6">
        <v>-0.14094149598280001</v>
      </c>
      <c r="R7" s="6">
        <v>9.8999827030106201E-3</v>
      </c>
      <c r="S7" s="6">
        <v>-0.100762929733443</v>
      </c>
      <c r="T7" s="6">
        <v>-0.177217493560309</v>
      </c>
      <c r="U7" s="6">
        <v>0.23702922683262401</v>
      </c>
      <c r="V7" s="3"/>
      <c r="W7" s="3"/>
      <c r="X7" s="3"/>
      <c r="AA7" s="1" t="s">
        <v>16</v>
      </c>
      <c r="AB7" s="7">
        <v>3.5643803616738599E-2</v>
      </c>
      <c r="AC7" s="7">
        <v>-0.10723161940916701</v>
      </c>
      <c r="AD7" s="7">
        <v>-8.03355777793439E-2</v>
      </c>
      <c r="AE7" s="7">
        <v>2.8795090299351199E-2</v>
      </c>
      <c r="AL7" s="1" t="s">
        <v>16</v>
      </c>
      <c r="AM7" s="6">
        <v>-0.25466432785839599</v>
      </c>
      <c r="AN7" s="6">
        <v>-0.15374907981911901</v>
      </c>
      <c r="AO7" s="6">
        <v>-2.3045436704483901E-2</v>
      </c>
      <c r="AP7" s="3"/>
      <c r="AQ7" s="3"/>
      <c r="AR7" s="3"/>
      <c r="AS7" s="3"/>
      <c r="AT7" s="3"/>
    </row>
    <row r="8" spans="1:46" x14ac:dyDescent="0.3">
      <c r="A8" s="9"/>
      <c r="B8" s="3"/>
      <c r="C8" s="3"/>
      <c r="D8" s="3"/>
      <c r="E8" s="3"/>
      <c r="P8" s="9" t="s">
        <v>17</v>
      </c>
      <c r="Q8" s="6">
        <v>5.2816129739206699E-2</v>
      </c>
      <c r="R8" s="6">
        <v>0.17263774528731801</v>
      </c>
      <c r="S8" s="6">
        <v>0.30054023216416398</v>
      </c>
      <c r="T8" s="6">
        <v>0.30667480667480701</v>
      </c>
      <c r="U8" s="6">
        <v>0.16733108613450501</v>
      </c>
      <c r="V8" s="3"/>
      <c r="W8" s="3"/>
      <c r="X8" s="3"/>
      <c r="AA8" s="1" t="s">
        <v>17</v>
      </c>
      <c r="AB8" s="7">
        <v>7.0634803998994605E-2</v>
      </c>
      <c r="AC8" s="7">
        <v>0.38630760503953498</v>
      </c>
      <c r="AD8" s="7">
        <v>0.39432180122321198</v>
      </c>
      <c r="AE8" s="7">
        <v>0.14873578973825799</v>
      </c>
      <c r="AL8" s="1" t="s">
        <v>17</v>
      </c>
      <c r="AM8" s="6">
        <v>0.13418502834996099</v>
      </c>
      <c r="AN8" s="6">
        <v>0.115509940429197</v>
      </c>
      <c r="AO8" s="6">
        <v>0.75030503122084302</v>
      </c>
      <c r="AP8" s="3"/>
      <c r="AQ8" s="3"/>
      <c r="AR8" s="3"/>
      <c r="AS8" s="3"/>
      <c r="AT8" s="3"/>
    </row>
    <row r="9" spans="1:46" x14ac:dyDescent="0.3">
      <c r="A9" s="1" t="s">
        <v>18</v>
      </c>
      <c r="B9" s="2" t="s">
        <v>6</v>
      </c>
      <c r="C9" s="2" t="s">
        <v>7</v>
      </c>
      <c r="D9" s="2" t="s">
        <v>8</v>
      </c>
      <c r="E9" s="2" t="s">
        <v>9</v>
      </c>
      <c r="H9" s="1" t="s">
        <v>18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P9" s="3"/>
      <c r="Q9" s="3"/>
      <c r="R9" s="3"/>
      <c r="S9" s="3"/>
      <c r="T9" s="3"/>
      <c r="U9" s="3"/>
      <c r="V9" s="3"/>
      <c r="W9" s="3"/>
      <c r="X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>
        <v>2025</v>
      </c>
      <c r="B10" s="4">
        <v>3158126</v>
      </c>
      <c r="C10" s="4">
        <v>3228928</v>
      </c>
      <c r="D10" s="4">
        <v>353335</v>
      </c>
      <c r="E10" s="4">
        <v>59540</v>
      </c>
      <c r="H10" s="1">
        <v>2025</v>
      </c>
      <c r="I10" s="5">
        <v>273233</v>
      </c>
      <c r="J10" s="5">
        <v>612148</v>
      </c>
      <c r="K10" s="5">
        <v>2569700</v>
      </c>
      <c r="L10" s="5">
        <v>2560242</v>
      </c>
      <c r="M10" s="5">
        <v>784606</v>
      </c>
      <c r="P10" s="1" t="s">
        <v>18</v>
      </c>
      <c r="Q10" s="2" t="s">
        <v>10</v>
      </c>
      <c r="R10" s="2" t="s">
        <v>11</v>
      </c>
      <c r="S10" s="2" t="s">
        <v>12</v>
      </c>
      <c r="T10" s="2" t="s">
        <v>13</v>
      </c>
      <c r="U10" s="2" t="s">
        <v>14</v>
      </c>
      <c r="V10" s="3"/>
      <c r="W10" s="3"/>
      <c r="X10" s="3"/>
      <c r="AA10" s="1" t="s">
        <v>18</v>
      </c>
      <c r="AB10" s="2" t="s">
        <v>11</v>
      </c>
      <c r="AC10" s="2" t="s">
        <v>12</v>
      </c>
      <c r="AD10" s="2" t="s">
        <v>13</v>
      </c>
      <c r="AE10" s="2" t="s">
        <v>14</v>
      </c>
      <c r="AL10" s="1" t="s">
        <v>18</v>
      </c>
      <c r="AM10" s="2" t="s">
        <v>11</v>
      </c>
      <c r="AN10" s="2" t="s">
        <v>12</v>
      </c>
      <c r="AO10" s="2" t="s">
        <v>13</v>
      </c>
      <c r="AP10" s="3"/>
      <c r="AQ10" s="3"/>
      <c r="AR10" s="3"/>
      <c r="AS10" s="3"/>
      <c r="AT10" s="3"/>
    </row>
    <row r="11" spans="1:46" x14ac:dyDescent="0.3">
      <c r="A11" s="1">
        <v>2026</v>
      </c>
      <c r="B11" s="4">
        <v>2286843</v>
      </c>
      <c r="C11" s="4">
        <v>2986366</v>
      </c>
      <c r="D11" s="4">
        <v>278785</v>
      </c>
      <c r="E11" s="4">
        <v>32853</v>
      </c>
      <c r="H11" s="1">
        <v>2026</v>
      </c>
      <c r="I11" s="5">
        <v>87330</v>
      </c>
      <c r="J11" s="5">
        <v>479434</v>
      </c>
      <c r="K11" s="5">
        <v>2022841</v>
      </c>
      <c r="L11" s="5">
        <v>2167211</v>
      </c>
      <c r="M11" s="5">
        <v>828031</v>
      </c>
      <c r="P11" s="1">
        <v>2025</v>
      </c>
      <c r="Q11" s="4">
        <v>273233</v>
      </c>
      <c r="R11" s="4">
        <v>353975</v>
      </c>
      <c r="S11" s="4">
        <v>1050224</v>
      </c>
      <c r="T11" s="4">
        <v>1052356</v>
      </c>
      <c r="U11" s="4">
        <v>428338</v>
      </c>
      <c r="V11" s="3"/>
      <c r="W11" s="3"/>
      <c r="X11" s="3"/>
      <c r="AA11" s="1">
        <v>2025</v>
      </c>
      <c r="AB11" s="5">
        <v>177940</v>
      </c>
      <c r="AC11" s="5">
        <v>1491304</v>
      </c>
      <c r="AD11" s="5">
        <v>1262958</v>
      </c>
      <c r="AE11" s="5">
        <v>296726</v>
      </c>
      <c r="AL11" s="1">
        <v>2025</v>
      </c>
      <c r="AM11" s="4">
        <v>80233</v>
      </c>
      <c r="AN11" s="4">
        <v>28172</v>
      </c>
      <c r="AO11" s="4">
        <v>244928</v>
      </c>
      <c r="AP11" s="3"/>
      <c r="AQ11" s="3"/>
      <c r="AR11" s="3"/>
      <c r="AS11" s="3"/>
      <c r="AT11" s="3"/>
    </row>
    <row r="12" spans="1:46" x14ac:dyDescent="0.3">
      <c r="A12" s="1" t="s">
        <v>15</v>
      </c>
      <c r="B12" s="6">
        <v>-0.27588607927612802</v>
      </c>
      <c r="C12" s="6">
        <v>-7.5121526401332003E-2</v>
      </c>
      <c r="D12" s="6">
        <v>-0.21098957080391101</v>
      </c>
      <c r="E12" s="6">
        <v>-0.44821968424588499</v>
      </c>
      <c r="H12" s="1" t="s">
        <v>15</v>
      </c>
      <c r="I12" s="7">
        <v>-0.68038267705584599</v>
      </c>
      <c r="J12" s="7">
        <v>-0.216800512294412</v>
      </c>
      <c r="K12" s="7">
        <v>-0.21281044479900399</v>
      </c>
      <c r="L12" s="7">
        <v>-0.15351322257817801</v>
      </c>
      <c r="M12" s="7">
        <v>5.5346250219855599E-2</v>
      </c>
      <c r="P12" s="1">
        <v>2026</v>
      </c>
      <c r="Q12" s="4">
        <v>87330</v>
      </c>
      <c r="R12" s="4">
        <v>283891</v>
      </c>
      <c r="S12" s="4">
        <v>769915</v>
      </c>
      <c r="T12" s="4">
        <v>816462</v>
      </c>
      <c r="U12" s="4">
        <v>329245</v>
      </c>
      <c r="V12" s="3"/>
      <c r="W12" s="3"/>
      <c r="X12" s="3"/>
      <c r="AA12" s="1">
        <v>2026</v>
      </c>
      <c r="AB12" s="5">
        <v>157569</v>
      </c>
      <c r="AC12" s="5">
        <v>1216380</v>
      </c>
      <c r="AD12" s="5">
        <v>1146485</v>
      </c>
      <c r="AE12" s="5">
        <v>465932</v>
      </c>
      <c r="AL12" s="1">
        <v>2026</v>
      </c>
      <c r="AM12" s="4">
        <v>37974</v>
      </c>
      <c r="AN12" s="4">
        <v>36546</v>
      </c>
      <c r="AO12" s="4">
        <v>204264</v>
      </c>
      <c r="AP12" s="3"/>
      <c r="AQ12" s="3"/>
      <c r="AR12" s="3"/>
      <c r="AS12" s="3"/>
      <c r="AT12" s="3"/>
    </row>
    <row r="13" spans="1:46" x14ac:dyDescent="0.3">
      <c r="A13" s="9"/>
      <c r="B13" s="3"/>
      <c r="C13" s="3"/>
      <c r="D13" s="3"/>
      <c r="E13" s="3"/>
      <c r="P13" s="1" t="s">
        <v>15</v>
      </c>
      <c r="Q13" s="6">
        <v>-0.68038267705584599</v>
      </c>
      <c r="R13" s="6">
        <v>-0.19799138357228599</v>
      </c>
      <c r="S13" s="6">
        <v>-0.26690401285820903</v>
      </c>
      <c r="T13" s="6">
        <v>-0.22415798456035799</v>
      </c>
      <c r="U13" s="6">
        <v>-0.23134300482329401</v>
      </c>
      <c r="V13" s="3"/>
      <c r="W13" s="3"/>
      <c r="X13" s="3"/>
      <c r="AA13" s="1" t="s">
        <v>15</v>
      </c>
      <c r="AB13" s="7">
        <v>-0.11448240980105701</v>
      </c>
      <c r="AC13" s="7">
        <v>-0.184351413259805</v>
      </c>
      <c r="AD13" s="7">
        <v>-9.22223858592289E-2</v>
      </c>
      <c r="AE13" s="7">
        <v>0.57024325471984305</v>
      </c>
      <c r="AL13" s="1" t="s">
        <v>15</v>
      </c>
      <c r="AM13" s="6">
        <v>-0.52670347612578405</v>
      </c>
      <c r="AN13" s="6">
        <v>0.29724549197785</v>
      </c>
      <c r="AO13" s="6">
        <v>-0.166024301019075</v>
      </c>
      <c r="AP13" s="3"/>
      <c r="AQ13" s="3"/>
      <c r="AR13" s="3"/>
      <c r="AS13" s="3"/>
      <c r="AT13" s="3"/>
    </row>
    <row r="14" spans="1:46" x14ac:dyDescent="0.3">
      <c r="A14" s="1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H14" s="1" t="s">
        <v>19</v>
      </c>
      <c r="P14" s="1" t="s">
        <v>17</v>
      </c>
      <c r="Q14" s="6">
        <v>3.8188017279717101E-2</v>
      </c>
      <c r="R14" s="6">
        <v>0.124141010117441</v>
      </c>
      <c r="S14" s="6">
        <v>0.33667155987533898</v>
      </c>
      <c r="T14" s="6">
        <v>0.35702582118667497</v>
      </c>
      <c r="U14" s="6">
        <v>0.14397359154082701</v>
      </c>
      <c r="V14" s="3"/>
      <c r="W14" s="3"/>
      <c r="X14" s="3"/>
      <c r="AA14" s="1" t="s">
        <v>17</v>
      </c>
      <c r="AB14" s="7">
        <v>5.2762789289725401E-2</v>
      </c>
      <c r="AC14" s="7">
        <v>0.40731109314799302</v>
      </c>
      <c r="AD14" s="7">
        <v>0.38390639325521397</v>
      </c>
      <c r="AE14" s="7">
        <v>0.15601972430706801</v>
      </c>
      <c r="AL14" s="1" t="s">
        <v>17</v>
      </c>
      <c r="AM14" s="6">
        <v>0.13621249349857401</v>
      </c>
      <c r="AN14" s="6">
        <v>0.131090266692971</v>
      </c>
      <c r="AO14" s="6">
        <v>0.73269365281489296</v>
      </c>
      <c r="AP14" s="3"/>
      <c r="AQ14" s="3"/>
      <c r="AR14" s="3"/>
      <c r="AS14" s="3"/>
      <c r="AT14" s="3"/>
    </row>
    <row r="15" spans="1:46" x14ac:dyDescent="0.3">
      <c r="A15" s="1" t="s">
        <v>6</v>
      </c>
      <c r="B15" s="6">
        <v>0.415281168335359</v>
      </c>
      <c r="C15" s="6">
        <v>0.41551820708047099</v>
      </c>
      <c r="D15" s="6">
        <v>0.455949951231303</v>
      </c>
      <c r="E15" s="6">
        <v>0.40947281098300498</v>
      </c>
      <c r="H15" s="1" t="s">
        <v>24</v>
      </c>
      <c r="I15" s="2" t="s">
        <v>20</v>
      </c>
      <c r="J15" s="2" t="s">
        <v>21</v>
      </c>
      <c r="K15" s="2" t="s">
        <v>22</v>
      </c>
      <c r="L15" s="2" t="s">
        <v>23</v>
      </c>
      <c r="P15" s="3"/>
      <c r="Q15" s="3"/>
      <c r="R15" s="3"/>
      <c r="S15" s="3"/>
      <c r="T15" s="3"/>
      <c r="U15" s="3"/>
      <c r="V15" s="3"/>
      <c r="W15" s="3"/>
      <c r="X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3">
      <c r="A16" s="1" t="s">
        <v>7</v>
      </c>
      <c r="B16" s="10">
        <v>0.52570789465194101</v>
      </c>
      <c r="C16" s="10">
        <v>0.52619889930004704</v>
      </c>
      <c r="D16" s="10">
        <v>0.48850778001147299</v>
      </c>
      <c r="E16" s="10">
        <v>0.53472655562453197</v>
      </c>
      <c r="H16" s="1" t="s">
        <v>10</v>
      </c>
      <c r="I16" s="7">
        <v>2.3758697452332E-2</v>
      </c>
      <c r="J16" s="7">
        <v>2.19460635341647E-2</v>
      </c>
      <c r="K16" s="7">
        <v>4.2087300222820999E-2</v>
      </c>
      <c r="L16" s="7">
        <v>1.5636954781393299E-2</v>
      </c>
      <c r="P16" s="1" t="s">
        <v>19</v>
      </c>
      <c r="Q16" s="3"/>
      <c r="R16" s="3"/>
      <c r="S16" s="3"/>
      <c r="T16" s="3"/>
      <c r="U16" s="3"/>
      <c r="V16" s="3"/>
      <c r="W16" s="3"/>
      <c r="X16" s="3"/>
      <c r="AA16" s="1" t="s">
        <v>19</v>
      </c>
      <c r="AL16" s="1" t="s">
        <v>19</v>
      </c>
      <c r="AM16" s="3"/>
      <c r="AN16" s="3"/>
      <c r="AO16" s="3"/>
      <c r="AP16" s="3"/>
      <c r="AQ16" s="3"/>
      <c r="AR16" s="3"/>
      <c r="AS16" s="3"/>
      <c r="AT16" s="3"/>
    </row>
    <row r="17" spans="1:46" x14ac:dyDescent="0.3">
      <c r="A17" s="1" t="s">
        <v>8</v>
      </c>
      <c r="B17" s="6">
        <v>5.0782636282491099E-2</v>
      </c>
      <c r="C17" s="6">
        <v>5.0348169535255997E-2</v>
      </c>
      <c r="D17" s="6">
        <v>4.8379866443561903E-2</v>
      </c>
      <c r="E17" s="6">
        <v>4.9918108768243798E-2</v>
      </c>
      <c r="H17" s="1" t="s">
        <v>11</v>
      </c>
      <c r="I17" s="7">
        <v>0.10786655661544101</v>
      </c>
      <c r="J17" s="7">
        <v>0.115658053069204</v>
      </c>
      <c r="K17" s="7">
        <v>9.2473917683886894E-2</v>
      </c>
      <c r="L17" s="7">
        <v>8.5845503019151601E-2</v>
      </c>
      <c r="P17" s="3"/>
      <c r="Q17" s="1" t="s">
        <v>25</v>
      </c>
      <c r="R17" s="1" t="s">
        <v>26</v>
      </c>
      <c r="S17" s="1" t="s">
        <v>15</v>
      </c>
      <c r="T17" s="1" t="s">
        <v>16</v>
      </c>
      <c r="U17" s="1" t="s">
        <v>27</v>
      </c>
      <c r="V17" s="1" t="s">
        <v>17</v>
      </c>
      <c r="W17" s="1" t="s">
        <v>28</v>
      </c>
      <c r="X17" s="1" t="s">
        <v>29</v>
      </c>
      <c r="AB17" s="1" t="s">
        <v>25</v>
      </c>
      <c r="AC17" s="1" t="s">
        <v>26</v>
      </c>
      <c r="AD17" s="1" t="s">
        <v>15</v>
      </c>
      <c r="AE17" s="1" t="s">
        <v>16</v>
      </c>
      <c r="AF17" s="1" t="s">
        <v>27</v>
      </c>
      <c r="AG17" s="1" t="s">
        <v>17</v>
      </c>
      <c r="AH17" s="1" t="s">
        <v>28</v>
      </c>
      <c r="AI17" s="1" t="s">
        <v>29</v>
      </c>
      <c r="AL17" s="3"/>
      <c r="AM17" s="1" t="s">
        <v>25</v>
      </c>
      <c r="AN17" s="1" t="s">
        <v>26</v>
      </c>
      <c r="AO17" s="1" t="s">
        <v>15</v>
      </c>
      <c r="AP17" s="1" t="s">
        <v>16</v>
      </c>
      <c r="AQ17" s="1" t="s">
        <v>27</v>
      </c>
      <c r="AR17" s="1" t="s">
        <v>17</v>
      </c>
      <c r="AS17" s="1" t="s">
        <v>28</v>
      </c>
      <c r="AT17" s="1" t="s">
        <v>29</v>
      </c>
    </row>
    <row r="18" spans="1:46" x14ac:dyDescent="0.3">
      <c r="A18" s="1" t="s">
        <v>9</v>
      </c>
      <c r="B18" s="6">
        <v>8.2283007302096003E-3</v>
      </c>
      <c r="C18" s="6">
        <v>7.9347240842255907E-3</v>
      </c>
      <c r="D18" s="6">
        <v>7.1624023136618699E-3</v>
      </c>
      <c r="E18" s="6">
        <v>5.8825246242197897E-3</v>
      </c>
      <c r="H18" s="1" t="s">
        <v>12</v>
      </c>
      <c r="I18" s="7">
        <v>0.34729989138266598</v>
      </c>
      <c r="J18" s="7">
        <v>0.33397028905117898</v>
      </c>
      <c r="K18" s="7">
        <v>0.35781767316291802</v>
      </c>
      <c r="L18" s="7">
        <v>0.36220168609811498</v>
      </c>
      <c r="P18" s="3">
        <v>1</v>
      </c>
      <c r="Q18" s="3" t="s">
        <v>30</v>
      </c>
      <c r="R18" s="4">
        <v>35296</v>
      </c>
      <c r="S18" s="6">
        <v>-5.8584948174853499E-3</v>
      </c>
      <c r="T18" s="6">
        <v>0.161320040798868</v>
      </c>
      <c r="U18" s="6" t="s">
        <v>11</v>
      </c>
      <c r="V18" s="6">
        <v>6.1390967373873402E-2</v>
      </c>
      <c r="W18" s="3">
        <v>0</v>
      </c>
      <c r="X18" s="11">
        <v>9.2484000000000002</v>
      </c>
      <c r="AA18">
        <v>1</v>
      </c>
      <c r="AB18" t="s">
        <v>41</v>
      </c>
      <c r="AC18" s="5">
        <v>21422</v>
      </c>
      <c r="AD18" s="7" t="e">
        <v>#DIV/0!</v>
      </c>
      <c r="AE18" s="7">
        <v>0.392214206797946</v>
      </c>
      <c r="AF18" s="7" t="s">
        <v>13</v>
      </c>
      <c r="AG18" s="7">
        <v>2.9422469690955601E-2</v>
      </c>
      <c r="AH18">
        <v>4</v>
      </c>
      <c r="AI18" s="12">
        <v>5.0138999999999996</v>
      </c>
      <c r="AL18" s="3">
        <v>1</v>
      </c>
      <c r="AM18" s="3" t="s">
        <v>32</v>
      </c>
      <c r="AN18" s="4">
        <v>6499</v>
      </c>
      <c r="AO18" s="6">
        <v>-0.21032806804374199</v>
      </c>
      <c r="AP18" s="6">
        <v>-0.112158469945355</v>
      </c>
      <c r="AQ18" s="6" t="s">
        <v>13</v>
      </c>
      <c r="AR18" s="6">
        <v>9.3289313141462701E-2</v>
      </c>
      <c r="AS18" s="3">
        <v>0</v>
      </c>
      <c r="AT18" s="11">
        <v>2.7675000000000001</v>
      </c>
    </row>
    <row r="19" spans="1:46" x14ac:dyDescent="0.3">
      <c r="H19" s="9" t="s">
        <v>13</v>
      </c>
      <c r="I19" s="7">
        <v>0.38982398077150598</v>
      </c>
      <c r="J19" s="7">
        <v>0.37269714851499502</v>
      </c>
      <c r="K19" s="7">
        <v>0.37728378785531802</v>
      </c>
      <c r="L19" s="7">
        <v>0.38805199139743701</v>
      </c>
      <c r="P19" s="3">
        <v>2</v>
      </c>
      <c r="Q19" s="3" t="s">
        <v>33</v>
      </c>
      <c r="R19" s="4">
        <v>26824</v>
      </c>
      <c r="S19" s="6">
        <v>-5.9005121728758797E-2</v>
      </c>
      <c r="T19" s="6">
        <v>2.1384111384111399</v>
      </c>
      <c r="U19" s="6" t="s">
        <v>34</v>
      </c>
      <c r="V19" s="6">
        <v>4.6655465458884299E-2</v>
      </c>
      <c r="W19" s="3">
        <v>22</v>
      </c>
      <c r="X19" s="11">
        <v>3.6781000000000001</v>
      </c>
      <c r="AA19">
        <v>2</v>
      </c>
      <c r="AB19" t="s">
        <v>38</v>
      </c>
      <c r="AC19" s="5">
        <v>20999</v>
      </c>
      <c r="AD19" s="7" t="e">
        <v>#DIV/0!</v>
      </c>
      <c r="AE19" s="7">
        <v>-0.13133945561346899</v>
      </c>
      <c r="AF19" s="7" t="s">
        <v>13</v>
      </c>
      <c r="AG19" s="7">
        <v>2.88414919727559E-2</v>
      </c>
      <c r="AH19">
        <v>0</v>
      </c>
      <c r="AI19" s="12">
        <v>7.8070000000000004</v>
      </c>
      <c r="AL19" s="3">
        <v>2</v>
      </c>
      <c r="AM19" s="3" t="s">
        <v>36</v>
      </c>
      <c r="AN19" s="4">
        <v>5698</v>
      </c>
      <c r="AO19" s="6">
        <v>-0.42537313432835799</v>
      </c>
      <c r="AP19" s="6">
        <v>-3.0952380952380999E-2</v>
      </c>
      <c r="AQ19" s="6" t="s">
        <v>13</v>
      </c>
      <c r="AR19" s="6">
        <v>8.1791430416995603E-2</v>
      </c>
      <c r="AS19" s="3">
        <v>2</v>
      </c>
      <c r="AT19" s="11">
        <v>2.3258999999999999</v>
      </c>
    </row>
    <row r="20" spans="1:46" x14ac:dyDescent="0.3">
      <c r="H20" s="1" t="s">
        <v>14</v>
      </c>
      <c r="I20" s="7">
        <v>0.131250873778055</v>
      </c>
      <c r="J20" s="7">
        <v>0.155728445830458</v>
      </c>
      <c r="K20" s="7">
        <v>0.130337321075056</v>
      </c>
      <c r="L20" s="7">
        <v>0.14826386470390299</v>
      </c>
      <c r="P20" s="3">
        <v>3</v>
      </c>
      <c r="Q20" s="3" t="s">
        <v>52</v>
      </c>
      <c r="R20" s="4">
        <v>14258</v>
      </c>
      <c r="S20" s="6">
        <v>0.52069112627986303</v>
      </c>
      <c r="T20" s="6">
        <v>-0.17090190149444701</v>
      </c>
      <c r="U20" s="6" t="s">
        <v>11</v>
      </c>
      <c r="V20" s="6">
        <v>2.4799195739366699E-2</v>
      </c>
      <c r="W20" s="3">
        <v>-1</v>
      </c>
      <c r="X20" s="11">
        <v>4.3312999999999997</v>
      </c>
      <c r="AA20">
        <v>3</v>
      </c>
      <c r="AB20" t="s">
        <v>31</v>
      </c>
      <c r="AC20" s="5">
        <v>19438</v>
      </c>
      <c r="AD20" s="7">
        <v>-5.0786209590780403E-2</v>
      </c>
      <c r="AE20" s="7">
        <v>-0.37179238575399098</v>
      </c>
      <c r="AF20" s="7" t="s">
        <v>13</v>
      </c>
      <c r="AG20" s="7">
        <v>2.6697505641527099E-2</v>
      </c>
      <c r="AH20">
        <v>-2</v>
      </c>
      <c r="AI20" s="12">
        <v>8.5332000000000008</v>
      </c>
      <c r="AL20" s="3">
        <v>3</v>
      </c>
      <c r="AM20" s="3" t="s">
        <v>42</v>
      </c>
      <c r="AN20" s="4">
        <v>5655</v>
      </c>
      <c r="AO20" s="6" t="e">
        <v>#DIV/0!</v>
      </c>
      <c r="AP20" s="6">
        <v>-0.14551223934723501</v>
      </c>
      <c r="AQ20" s="6" t="s">
        <v>12</v>
      </c>
      <c r="AR20" s="6">
        <v>8.1174190770114105E-2</v>
      </c>
      <c r="AS20" s="3">
        <v>-1</v>
      </c>
      <c r="AT20" s="11">
        <v>2.4621</v>
      </c>
    </row>
    <row r="21" spans="1:46" x14ac:dyDescent="0.3">
      <c r="P21" s="3">
        <v>4</v>
      </c>
      <c r="Q21" s="3" t="s">
        <v>58</v>
      </c>
      <c r="R21" s="4">
        <v>13612</v>
      </c>
      <c r="S21" s="6">
        <v>-0.46193374970353401</v>
      </c>
      <c r="T21" s="6">
        <v>-7.7902723208237296E-2</v>
      </c>
      <c r="U21" s="6" t="s">
        <v>12</v>
      </c>
      <c r="V21" s="6">
        <v>2.3675596325169E-2</v>
      </c>
      <c r="W21" s="3">
        <v>1</v>
      </c>
      <c r="X21" s="11">
        <v>4.4977</v>
      </c>
      <c r="AA21">
        <v>4</v>
      </c>
      <c r="AB21" t="s">
        <v>47</v>
      </c>
      <c r="AC21" s="5">
        <v>15907</v>
      </c>
      <c r="AD21" s="7">
        <v>0.73562465902891405</v>
      </c>
      <c r="AE21" s="7">
        <v>-0.24885488973886799</v>
      </c>
      <c r="AF21" s="7" t="s">
        <v>11</v>
      </c>
      <c r="AG21" s="7">
        <v>2.1847783837831699E-2</v>
      </c>
      <c r="AH21">
        <v>-1</v>
      </c>
      <c r="AI21" s="12">
        <v>4.7816000000000001</v>
      </c>
      <c r="AL21" s="3">
        <v>4</v>
      </c>
      <c r="AM21" s="3" t="s">
        <v>39</v>
      </c>
      <c r="AN21" s="4">
        <v>5547</v>
      </c>
      <c r="AO21" s="6">
        <v>7.1453744493392097</v>
      </c>
      <c r="AP21" s="6">
        <v>-9.6138178262995005E-2</v>
      </c>
      <c r="AQ21" s="6" t="s">
        <v>13</v>
      </c>
      <c r="AR21" s="6">
        <v>7.9623914447714106E-2</v>
      </c>
      <c r="AS21" s="3">
        <v>-1</v>
      </c>
      <c r="AT21" s="11">
        <v>2.0630999999999999</v>
      </c>
    </row>
    <row r="22" spans="1:46" x14ac:dyDescent="0.3">
      <c r="P22" s="3">
        <v>5</v>
      </c>
      <c r="Q22" s="3" t="s">
        <v>43</v>
      </c>
      <c r="R22" s="4">
        <v>12910</v>
      </c>
      <c r="S22" s="6">
        <v>-2.7934643475641899E-2</v>
      </c>
      <c r="T22" s="6">
        <v>0.41046651371135101</v>
      </c>
      <c r="U22" s="6" t="s">
        <v>12</v>
      </c>
      <c r="V22" s="6">
        <v>2.24545951041678E-2</v>
      </c>
      <c r="W22" s="3">
        <v>16</v>
      </c>
      <c r="X22" s="11">
        <v>3.2671999999999999</v>
      </c>
      <c r="AA22">
        <v>5</v>
      </c>
      <c r="AB22" t="s">
        <v>53</v>
      </c>
      <c r="AC22" s="5">
        <v>13762</v>
      </c>
      <c r="AD22" s="7" t="e">
        <v>#DIV/0!</v>
      </c>
      <c r="AE22" s="7">
        <v>6.0491639053710501E-2</v>
      </c>
      <c r="AF22" s="7" t="s">
        <v>12</v>
      </c>
      <c r="AG22" s="7">
        <v>1.8901691153343801E-2</v>
      </c>
      <c r="AH22">
        <v>5</v>
      </c>
      <c r="AI22" s="12">
        <v>3.4415</v>
      </c>
      <c r="AL22" s="3">
        <v>5</v>
      </c>
      <c r="AM22" s="3" t="s">
        <v>57</v>
      </c>
      <c r="AN22" s="4">
        <v>4825</v>
      </c>
      <c r="AO22" s="6">
        <v>3.2969385570541701E-2</v>
      </c>
      <c r="AP22" s="6">
        <v>0.14444971537001899</v>
      </c>
      <c r="AQ22" s="6" t="s">
        <v>13</v>
      </c>
      <c r="AR22" s="6">
        <v>6.9260030144261797E-2</v>
      </c>
      <c r="AS22" s="3">
        <v>2</v>
      </c>
      <c r="AT22" s="11">
        <v>1.5001</v>
      </c>
    </row>
    <row r="23" spans="1:46" x14ac:dyDescent="0.3">
      <c r="P23" s="3">
        <v>6</v>
      </c>
      <c r="Q23" s="3" t="s">
        <v>40</v>
      </c>
      <c r="R23" s="4">
        <v>12392</v>
      </c>
      <c r="S23" s="6">
        <v>-0.56910880072325198</v>
      </c>
      <c r="T23" s="6">
        <v>-0.13142216303357401</v>
      </c>
      <c r="U23" s="6" t="s">
        <v>10</v>
      </c>
      <c r="V23" s="6">
        <v>2.1553628391235199E-2</v>
      </c>
      <c r="W23" s="3">
        <v>0</v>
      </c>
      <c r="X23" s="11">
        <v>3.6816</v>
      </c>
      <c r="AA23">
        <v>6</v>
      </c>
      <c r="AB23" t="s">
        <v>56</v>
      </c>
      <c r="AC23" s="5">
        <v>13649</v>
      </c>
      <c r="AD23" s="7">
        <v>1.02057735011103</v>
      </c>
      <c r="AE23" s="7">
        <v>0.305499760879962</v>
      </c>
      <c r="AF23" s="7" t="s">
        <v>11</v>
      </c>
      <c r="AG23" s="7">
        <v>1.87464890678673E-2</v>
      </c>
      <c r="AH23">
        <v>11</v>
      </c>
      <c r="AI23" s="12">
        <v>3.7088000000000001</v>
      </c>
      <c r="AL23" s="3">
        <v>6</v>
      </c>
      <c r="AM23" s="3" t="s">
        <v>48</v>
      </c>
      <c r="AN23" s="4">
        <v>4789</v>
      </c>
      <c r="AO23" s="6">
        <v>-0.46806620015550399</v>
      </c>
      <c r="AP23" s="6">
        <v>0.37378083763625902</v>
      </c>
      <c r="AQ23" s="6" t="s">
        <v>13</v>
      </c>
      <c r="AR23" s="6">
        <v>6.8743271370128506E-2</v>
      </c>
      <c r="AS23" s="3">
        <v>4</v>
      </c>
      <c r="AT23" s="11">
        <v>1.3926000000000001</v>
      </c>
    </row>
    <row r="24" spans="1:46" x14ac:dyDescent="0.3">
      <c r="P24" s="3">
        <v>7</v>
      </c>
      <c r="Q24" s="3" t="s">
        <v>46</v>
      </c>
      <c r="R24" s="4">
        <v>12347</v>
      </c>
      <c r="S24" s="6">
        <v>-0.206898766700925</v>
      </c>
      <c r="T24" s="6">
        <v>-0.23157829225790399</v>
      </c>
      <c r="U24" s="6" t="s">
        <v>12</v>
      </c>
      <c r="V24" s="6">
        <v>2.14753590821967E-2</v>
      </c>
      <c r="W24" s="3">
        <v>-4</v>
      </c>
      <c r="X24" s="11">
        <v>7.8391999999999999</v>
      </c>
      <c r="AA24">
        <v>7</v>
      </c>
      <c r="AB24" t="s">
        <v>68</v>
      </c>
      <c r="AC24" s="5">
        <v>13511</v>
      </c>
      <c r="AD24" s="7">
        <v>23.126785714285699</v>
      </c>
      <c r="AE24" s="7">
        <v>-0.21227845149253699</v>
      </c>
      <c r="AF24" s="7" t="s">
        <v>34</v>
      </c>
      <c r="AG24" s="7">
        <v>1.8556950237816301E-2</v>
      </c>
      <c r="AH24">
        <v>-3</v>
      </c>
      <c r="AI24" s="12">
        <v>6.0883000000000003</v>
      </c>
      <c r="AL24" s="3">
        <v>7</v>
      </c>
      <c r="AM24" s="3" t="s">
        <v>54</v>
      </c>
      <c r="AN24" s="4">
        <v>4325</v>
      </c>
      <c r="AO24" s="6">
        <v>-0.125202265372168</v>
      </c>
      <c r="AP24" s="6">
        <v>0.11959616878074</v>
      </c>
      <c r="AQ24" s="6" t="s">
        <v>13</v>
      </c>
      <c r="AR24" s="6">
        <v>6.2082824947965298E-2</v>
      </c>
      <c r="AS24" s="3">
        <v>2</v>
      </c>
      <c r="AT24" s="11">
        <v>1.4681</v>
      </c>
    </row>
    <row r="25" spans="1:46" x14ac:dyDescent="0.3">
      <c r="P25" s="3">
        <v>8</v>
      </c>
      <c r="Q25" s="3" t="s">
        <v>49</v>
      </c>
      <c r="R25" s="4">
        <v>10016</v>
      </c>
      <c r="S25" s="6">
        <v>-0.37954531375828499</v>
      </c>
      <c r="T25" s="6">
        <v>-0.239714589342645</v>
      </c>
      <c r="U25" s="6" t="s">
        <v>13</v>
      </c>
      <c r="V25" s="6">
        <v>1.7421008874000301E-2</v>
      </c>
      <c r="W25" s="3">
        <v>0</v>
      </c>
      <c r="X25" s="11">
        <v>5.0022000000000002</v>
      </c>
      <c r="AA25">
        <v>8</v>
      </c>
      <c r="AB25" t="s">
        <v>59</v>
      </c>
      <c r="AC25" s="5">
        <v>12900</v>
      </c>
      <c r="AD25" s="7" t="e">
        <v>#DIV/0!</v>
      </c>
      <c r="AE25" s="7">
        <v>-8.2699281803313707E-2</v>
      </c>
      <c r="AF25" s="7" t="s">
        <v>13</v>
      </c>
      <c r="AG25" s="7">
        <v>1.77177602004167E-2</v>
      </c>
      <c r="AH25">
        <v>-2</v>
      </c>
      <c r="AI25" s="12">
        <v>5.5625</v>
      </c>
      <c r="AL25" s="3">
        <v>8</v>
      </c>
      <c r="AM25" s="3" t="s">
        <v>45</v>
      </c>
      <c r="AN25" s="4">
        <v>4291</v>
      </c>
      <c r="AO25" s="6">
        <v>-0.25269940787182199</v>
      </c>
      <c r="AP25" s="6">
        <v>-9.4152417141650804E-2</v>
      </c>
      <c r="AQ25" s="6" t="s">
        <v>13</v>
      </c>
      <c r="AR25" s="6">
        <v>6.1594774994617102E-2</v>
      </c>
      <c r="AS25" s="3">
        <v>-3</v>
      </c>
      <c r="AT25" s="11">
        <v>1.9103000000000001</v>
      </c>
    </row>
    <row r="26" spans="1:46" x14ac:dyDescent="0.3">
      <c r="P26" s="3">
        <v>9</v>
      </c>
      <c r="Q26" s="3" t="s">
        <v>67</v>
      </c>
      <c r="R26" s="4">
        <v>9969</v>
      </c>
      <c r="S26" s="6">
        <v>-4.1626610267256302E-2</v>
      </c>
      <c r="T26" s="6">
        <v>1.9095477386934501E-3</v>
      </c>
      <c r="U26" s="6" t="s">
        <v>34</v>
      </c>
      <c r="V26" s="6">
        <v>1.73392609290045E-2</v>
      </c>
      <c r="W26" s="3">
        <v>8</v>
      </c>
      <c r="X26" s="11">
        <v>4.1193</v>
      </c>
      <c r="AA26">
        <v>9</v>
      </c>
      <c r="AB26" t="s">
        <v>50</v>
      </c>
      <c r="AC26" s="5">
        <v>12702</v>
      </c>
      <c r="AD26" s="7">
        <v>-0.113978794642857</v>
      </c>
      <c r="AE26" s="7">
        <v>-8.0631152287203203E-2</v>
      </c>
      <c r="AF26" s="7" t="s">
        <v>12</v>
      </c>
      <c r="AG26" s="7">
        <v>1.7445813183387102E-2</v>
      </c>
      <c r="AH26">
        <v>-2</v>
      </c>
      <c r="AI26" s="12">
        <v>4.4465000000000003</v>
      </c>
      <c r="AL26" s="3">
        <v>9</v>
      </c>
      <c r="AM26" s="3" t="s">
        <v>51</v>
      </c>
      <c r="AN26" s="4">
        <v>3461</v>
      </c>
      <c r="AO26" s="6">
        <v>-0.20436781609195401</v>
      </c>
      <c r="AP26" s="6">
        <v>-0.108908341915551</v>
      </c>
      <c r="AQ26" s="6" t="s">
        <v>11</v>
      </c>
      <c r="AR26" s="6">
        <v>4.9680614368764801E-2</v>
      </c>
      <c r="AS26" s="3">
        <v>-1</v>
      </c>
      <c r="AT26" s="11">
        <v>1.0139</v>
      </c>
    </row>
    <row r="27" spans="1:46" x14ac:dyDescent="0.3">
      <c r="P27" s="3">
        <v>10</v>
      </c>
      <c r="Q27" s="3" t="s">
        <v>73</v>
      </c>
      <c r="R27" s="4">
        <v>9933</v>
      </c>
      <c r="S27" s="6">
        <v>-0.70239985618839296</v>
      </c>
      <c r="T27" s="6">
        <v>-0.303094085455693</v>
      </c>
      <c r="U27" s="6" t="s">
        <v>11</v>
      </c>
      <c r="V27" s="6">
        <v>1.7276645481773701E-2</v>
      </c>
      <c r="W27" s="3">
        <v>-3</v>
      </c>
      <c r="X27" s="11">
        <v>3.548</v>
      </c>
      <c r="AA27">
        <v>10</v>
      </c>
      <c r="AB27" t="s">
        <v>74</v>
      </c>
      <c r="AC27" s="5">
        <v>11967</v>
      </c>
      <c r="AD27" s="7">
        <v>0.4215965787598</v>
      </c>
      <c r="AE27" s="7">
        <v>0.25637795275590602</v>
      </c>
      <c r="AF27" s="7" t="s">
        <v>12</v>
      </c>
      <c r="AG27" s="7">
        <v>1.6436312892898201E-2</v>
      </c>
      <c r="AH27">
        <v>12</v>
      </c>
      <c r="AI27" s="12">
        <v>2.8748</v>
      </c>
      <c r="AL27" s="3">
        <v>10</v>
      </c>
      <c r="AM27" s="3" t="s">
        <v>60</v>
      </c>
      <c r="AN27" s="4">
        <v>2825</v>
      </c>
      <c r="AO27" s="6">
        <v>-0.54994424087940097</v>
      </c>
      <c r="AP27" s="6">
        <v>-0.37264046191427902</v>
      </c>
      <c r="AQ27" s="6" t="s">
        <v>11</v>
      </c>
      <c r="AR27" s="6">
        <v>4.05512093590756E-2</v>
      </c>
      <c r="AS27" s="3">
        <v>-4</v>
      </c>
      <c r="AT27" s="11">
        <v>1.3386</v>
      </c>
    </row>
    <row r="28" spans="1:46" x14ac:dyDescent="0.3">
      <c r="P28" s="3">
        <v>11</v>
      </c>
      <c r="Q28" s="3" t="s">
        <v>61</v>
      </c>
      <c r="R28" s="4">
        <v>9458</v>
      </c>
      <c r="S28" s="6">
        <v>449.38095238095201</v>
      </c>
      <c r="T28" s="6">
        <v>-0.15576184950459701</v>
      </c>
      <c r="U28" s="6" t="s">
        <v>12</v>
      </c>
      <c r="V28" s="6">
        <v>1.64504694419224E-2</v>
      </c>
      <c r="W28" s="3">
        <v>1</v>
      </c>
      <c r="X28" s="11">
        <v>3.0545</v>
      </c>
      <c r="AA28">
        <v>11</v>
      </c>
      <c r="AB28" t="s">
        <v>62</v>
      </c>
      <c r="AC28" s="5">
        <v>11210</v>
      </c>
      <c r="AD28" s="7">
        <v>-0.236063786288674</v>
      </c>
      <c r="AE28" s="7">
        <v>-0.160739687055476</v>
      </c>
      <c r="AF28" s="7" t="s">
        <v>12</v>
      </c>
      <c r="AG28" s="7">
        <v>1.53965962671838E-2</v>
      </c>
      <c r="AH28">
        <v>-2</v>
      </c>
      <c r="AI28" s="12">
        <v>5.4459</v>
      </c>
      <c r="AL28" s="3">
        <v>11</v>
      </c>
      <c r="AM28" s="3" t="s">
        <v>69</v>
      </c>
      <c r="AN28" s="4">
        <v>2075</v>
      </c>
      <c r="AO28" s="6">
        <v>0.29525593008739098</v>
      </c>
      <c r="AP28" s="6">
        <v>-0.190717628705148</v>
      </c>
      <c r="AQ28" s="6" t="s">
        <v>13</v>
      </c>
      <c r="AR28" s="6">
        <v>2.9785401564630699E-2</v>
      </c>
      <c r="AS28" s="3">
        <v>1</v>
      </c>
      <c r="AT28" s="11">
        <v>1.0407999999999999</v>
      </c>
    </row>
    <row r="29" spans="1:46" x14ac:dyDescent="0.3">
      <c r="P29" s="3">
        <v>12</v>
      </c>
      <c r="Q29" s="3" t="s">
        <v>70</v>
      </c>
      <c r="R29" s="4">
        <v>9066</v>
      </c>
      <c r="S29" s="6">
        <v>-0.27016583480920903</v>
      </c>
      <c r="T29" s="6">
        <v>-0.115080527086384</v>
      </c>
      <c r="U29" s="6" t="s">
        <v>13</v>
      </c>
      <c r="V29" s="6">
        <v>1.57686567942978E-2</v>
      </c>
      <c r="W29" s="3">
        <v>2</v>
      </c>
      <c r="X29" s="11">
        <v>4.1055999999999999</v>
      </c>
      <c r="AA29">
        <v>12</v>
      </c>
      <c r="AB29" t="s">
        <v>77</v>
      </c>
      <c r="AC29" s="5">
        <v>11064</v>
      </c>
      <c r="AD29" s="7">
        <v>-0.27520471667212598</v>
      </c>
      <c r="AE29" s="7">
        <v>-0.13965785381026399</v>
      </c>
      <c r="AF29" s="7" t="s">
        <v>12</v>
      </c>
      <c r="AG29" s="7">
        <v>1.5196069678869E-2</v>
      </c>
      <c r="AH29">
        <v>0</v>
      </c>
      <c r="AI29" s="12">
        <v>4.6249000000000002</v>
      </c>
      <c r="AL29" s="3">
        <v>12</v>
      </c>
      <c r="AM29" s="3" t="s">
        <v>63</v>
      </c>
      <c r="AN29" s="4">
        <v>2046</v>
      </c>
      <c r="AO29" s="6">
        <v>-0.62195121951219501</v>
      </c>
      <c r="AP29" s="6">
        <v>-0.30925050641458501</v>
      </c>
      <c r="AQ29" s="6" t="s">
        <v>11</v>
      </c>
      <c r="AR29" s="6">
        <v>2.9369123663245501E-2</v>
      </c>
      <c r="AS29" s="3">
        <v>-1</v>
      </c>
      <c r="AT29" s="11">
        <v>0.98729999999999996</v>
      </c>
    </row>
    <row r="30" spans="1:46" x14ac:dyDescent="0.3">
      <c r="P30" s="3">
        <v>13</v>
      </c>
      <c r="Q30" s="3" t="s">
        <v>64</v>
      </c>
      <c r="R30" s="4">
        <v>8745</v>
      </c>
      <c r="S30" s="6">
        <v>-0.41816367265469101</v>
      </c>
      <c r="T30" s="6">
        <v>-0.221282279608192</v>
      </c>
      <c r="U30" s="6" t="s">
        <v>13</v>
      </c>
      <c r="V30" s="6">
        <v>1.52103357231562E-2</v>
      </c>
      <c r="W30" s="3">
        <v>-2</v>
      </c>
      <c r="X30" s="11">
        <v>5.2070999999999996</v>
      </c>
      <c r="AA30">
        <v>13</v>
      </c>
      <c r="AB30" t="s">
        <v>65</v>
      </c>
      <c r="AC30" s="5">
        <v>10141</v>
      </c>
      <c r="AD30" s="7">
        <v>-0.19859333017227801</v>
      </c>
      <c r="AE30" s="7">
        <v>-0.21155341315503001</v>
      </c>
      <c r="AF30" s="7" t="s">
        <v>12</v>
      </c>
      <c r="AG30" s="7">
        <v>1.3928357069180299E-2</v>
      </c>
      <c r="AH30">
        <v>-2</v>
      </c>
      <c r="AI30" s="12">
        <v>5.3616000000000001</v>
      </c>
      <c r="AL30" s="3">
        <v>13</v>
      </c>
      <c r="AM30" s="3" t="s">
        <v>72</v>
      </c>
      <c r="AN30" s="4">
        <v>1604</v>
      </c>
      <c r="AO30" s="6">
        <v>-0.38988208444275402</v>
      </c>
      <c r="AP30" s="6">
        <v>0.42704626334519602</v>
      </c>
      <c r="AQ30" s="6" t="s">
        <v>13</v>
      </c>
      <c r="AR30" s="6">
        <v>2.3024474269719399E-2</v>
      </c>
      <c r="AS30" s="3">
        <v>4</v>
      </c>
      <c r="AT30" s="11">
        <v>0.50849999999999995</v>
      </c>
    </row>
    <row r="31" spans="1:46" x14ac:dyDescent="0.3">
      <c r="P31" s="3">
        <v>14</v>
      </c>
      <c r="Q31" s="3" t="s">
        <v>78</v>
      </c>
      <c r="R31" s="4">
        <v>8572</v>
      </c>
      <c r="S31" s="6">
        <v>-0.41611606838771198</v>
      </c>
      <c r="T31" s="6">
        <v>-0.30948928628967298</v>
      </c>
      <c r="U31" s="6" t="s">
        <v>12</v>
      </c>
      <c r="V31" s="6">
        <v>1.4909433712852501E-2</v>
      </c>
      <c r="W31" s="3">
        <v>-5</v>
      </c>
      <c r="X31" s="11">
        <v>6.0682999999999998</v>
      </c>
      <c r="AA31">
        <v>14</v>
      </c>
      <c r="AB31" t="s">
        <v>79</v>
      </c>
      <c r="AC31" s="5">
        <v>10062</v>
      </c>
      <c r="AD31" s="7">
        <v>0.19232136509065101</v>
      </c>
      <c r="AE31" s="7">
        <v>2.4434941967012899E-2</v>
      </c>
      <c r="AF31" s="7" t="s">
        <v>13</v>
      </c>
      <c r="AG31" s="7">
        <v>1.3819852956325001E-2</v>
      </c>
      <c r="AH31">
        <v>4</v>
      </c>
      <c r="AI31" s="12">
        <v>2.9775999999999998</v>
      </c>
      <c r="AL31" s="3">
        <v>14</v>
      </c>
      <c r="AM31" s="3" t="s">
        <v>80</v>
      </c>
      <c r="AN31" s="4">
        <v>1582</v>
      </c>
      <c r="AO31" s="6" t="e">
        <v>#DIV/0!</v>
      </c>
      <c r="AP31" s="6">
        <v>-0.260747663551402</v>
      </c>
      <c r="AQ31" s="6" t="s">
        <v>13</v>
      </c>
      <c r="AR31" s="6">
        <v>2.27086772410823E-2</v>
      </c>
      <c r="AS31" s="3">
        <v>-1</v>
      </c>
      <c r="AT31" s="11">
        <v>0.91259999999999997</v>
      </c>
    </row>
    <row r="32" spans="1:46" x14ac:dyDescent="0.3">
      <c r="P32" s="3">
        <v>15</v>
      </c>
      <c r="Q32" s="3" t="s">
        <v>81</v>
      </c>
      <c r="R32" s="4">
        <v>8548</v>
      </c>
      <c r="S32" s="6">
        <v>-0.53143671545250204</v>
      </c>
      <c r="T32" s="6">
        <v>-0.294952161002969</v>
      </c>
      <c r="U32" s="6" t="s">
        <v>13</v>
      </c>
      <c r="V32" s="6">
        <v>1.4867690081365299E-2</v>
      </c>
      <c r="W32" s="3">
        <v>-5</v>
      </c>
      <c r="X32" s="11">
        <v>6.0057</v>
      </c>
      <c r="AA32">
        <v>15</v>
      </c>
      <c r="AB32" t="s">
        <v>82</v>
      </c>
      <c r="AC32" s="5">
        <v>9828</v>
      </c>
      <c r="AD32" s="7" t="e">
        <v>#DIV/0!</v>
      </c>
      <c r="AE32" s="7">
        <v>-0.286118980169972</v>
      </c>
      <c r="AF32" s="7" t="s">
        <v>34</v>
      </c>
      <c r="AG32" s="7">
        <v>1.3498461027108199E-2</v>
      </c>
      <c r="AH32">
        <v>-7</v>
      </c>
      <c r="AI32" s="12">
        <v>8.1588999999999992</v>
      </c>
      <c r="AL32" s="3">
        <v>15</v>
      </c>
      <c r="AM32" s="3" t="s">
        <v>75</v>
      </c>
      <c r="AN32" s="4">
        <v>1330</v>
      </c>
      <c r="AO32" s="6">
        <v>-0.51030927835051498</v>
      </c>
      <c r="AP32" s="6">
        <v>-0.11096256684491999</v>
      </c>
      <c r="AQ32" s="6" t="s">
        <v>12</v>
      </c>
      <c r="AR32" s="6">
        <v>1.90913658221489E-2</v>
      </c>
      <c r="AS32" s="3">
        <v>0</v>
      </c>
      <c r="AT32" s="11">
        <v>0.70989999999999998</v>
      </c>
    </row>
    <row r="33" spans="16:46" x14ac:dyDescent="0.3">
      <c r="P33" s="3"/>
      <c r="Q33" s="3"/>
      <c r="R33" s="3"/>
      <c r="S33" s="3"/>
      <c r="T33" s="3"/>
      <c r="U33" s="3"/>
      <c r="V33" s="3"/>
      <c r="W33" s="3"/>
      <c r="X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6:46" x14ac:dyDescent="0.3">
      <c r="P34" s="3"/>
      <c r="Q34" s="3"/>
      <c r="R34" s="3"/>
      <c r="S34" s="3"/>
      <c r="T34" s="3"/>
      <c r="U34" s="3"/>
      <c r="V34" s="3"/>
      <c r="W34" s="3"/>
      <c r="X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6:46" x14ac:dyDescent="0.3">
      <c r="P35" s="3"/>
      <c r="Q35" s="3"/>
      <c r="R35" s="3"/>
      <c r="S35" s="3"/>
      <c r="T35" s="3"/>
      <c r="U35" s="1" t="s">
        <v>76</v>
      </c>
      <c r="V35" s="6">
        <v>0.35099999999999998</v>
      </c>
      <c r="W35" s="3"/>
      <c r="X35" s="3"/>
      <c r="AF35" s="1" t="s">
        <v>76</v>
      </c>
      <c r="AG35" s="7">
        <v>0.28599999999999998</v>
      </c>
      <c r="AL35" s="3"/>
      <c r="AM35" s="3"/>
      <c r="AN35" s="3"/>
      <c r="AO35" s="3"/>
      <c r="AP35" s="3"/>
      <c r="AQ35" s="3" t="s">
        <v>76</v>
      </c>
      <c r="AR35" s="6">
        <v>0.81200000000000006</v>
      </c>
      <c r="AS35" s="3"/>
      <c r="AT35" s="3"/>
    </row>
  </sheetData>
  <mergeCells count="6">
    <mergeCell ref="AL1:AT2"/>
    <mergeCell ref="A1:E2"/>
    <mergeCell ref="H1:M2"/>
    <mergeCell ref="P1:X2"/>
    <mergeCell ref="AA1:AE2"/>
    <mergeCell ref="AF1:AI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5"/>
  <sheetViews>
    <sheetView topLeftCell="A7" workbookViewId="0">
      <selection activeCell="K26" sqref="K26"/>
    </sheetView>
  </sheetViews>
  <sheetFormatPr defaultColWidth="9" defaultRowHeight="14" x14ac:dyDescent="0.3"/>
  <sheetData>
    <row r="1" spans="1:46" x14ac:dyDescent="0.3">
      <c r="A1" s="16" t="s">
        <v>0</v>
      </c>
      <c r="B1" s="17"/>
      <c r="C1" s="17"/>
      <c r="D1" s="17"/>
      <c r="E1" s="17"/>
      <c r="H1" s="16" t="s">
        <v>1</v>
      </c>
      <c r="I1" s="16"/>
      <c r="J1" s="16"/>
      <c r="K1" s="16"/>
      <c r="L1" s="16"/>
      <c r="M1" s="16"/>
      <c r="P1" s="16" t="s">
        <v>2</v>
      </c>
      <c r="Q1" s="16"/>
      <c r="R1" s="16"/>
      <c r="S1" s="16"/>
      <c r="T1" s="16"/>
      <c r="U1" s="16"/>
      <c r="V1" s="16"/>
      <c r="W1" s="16"/>
      <c r="X1" s="16"/>
      <c r="AA1" s="16" t="s">
        <v>3</v>
      </c>
      <c r="AB1" s="17"/>
      <c r="AC1" s="17"/>
      <c r="AD1" s="17"/>
      <c r="AE1" s="17"/>
      <c r="AF1" s="16"/>
      <c r="AG1" s="17"/>
      <c r="AH1" s="17"/>
      <c r="AI1" s="17"/>
      <c r="AL1" s="16" t="s">
        <v>4</v>
      </c>
      <c r="AM1" s="16"/>
      <c r="AN1" s="16"/>
      <c r="AO1" s="16"/>
      <c r="AP1" s="16"/>
      <c r="AQ1" s="16"/>
      <c r="AR1" s="16"/>
      <c r="AS1" s="16"/>
      <c r="AT1" s="16"/>
    </row>
    <row r="2" spans="1:46" x14ac:dyDescent="0.3">
      <c r="A2" s="17"/>
      <c r="B2" s="17"/>
      <c r="C2" s="17"/>
      <c r="D2" s="17"/>
      <c r="E2" s="17"/>
      <c r="H2" s="16"/>
      <c r="I2" s="16"/>
      <c r="J2" s="16"/>
      <c r="K2" s="16"/>
      <c r="L2" s="16"/>
      <c r="M2" s="16"/>
      <c r="P2" s="16"/>
      <c r="Q2" s="16"/>
      <c r="R2" s="16"/>
      <c r="S2" s="16"/>
      <c r="T2" s="16"/>
      <c r="U2" s="16"/>
      <c r="V2" s="16"/>
      <c r="W2" s="16"/>
      <c r="X2" s="16"/>
      <c r="AA2" s="17"/>
      <c r="AB2" s="17"/>
      <c r="AC2" s="17"/>
      <c r="AD2" s="17"/>
      <c r="AE2" s="17"/>
      <c r="AF2" s="17"/>
      <c r="AG2" s="17"/>
      <c r="AH2" s="17"/>
      <c r="AI2" s="17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3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H3" s="1" t="s">
        <v>5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P3" s="1" t="s">
        <v>5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3"/>
      <c r="W3" s="3"/>
      <c r="X3" s="3"/>
      <c r="AA3" s="1" t="s">
        <v>5</v>
      </c>
      <c r="AB3" s="2" t="s">
        <v>11</v>
      </c>
      <c r="AC3" s="2" t="s">
        <v>12</v>
      </c>
      <c r="AD3" s="2" t="s">
        <v>13</v>
      </c>
      <c r="AE3" s="2" t="s">
        <v>14</v>
      </c>
      <c r="AL3" s="1" t="s">
        <v>5</v>
      </c>
      <c r="AM3" s="2" t="s">
        <v>11</v>
      </c>
      <c r="AN3" s="2" t="s">
        <v>12</v>
      </c>
      <c r="AO3" s="2" t="s">
        <v>13</v>
      </c>
      <c r="AP3" s="3"/>
      <c r="AQ3" s="3"/>
      <c r="AR3" s="3"/>
      <c r="AS3" s="3"/>
      <c r="AT3" s="3"/>
    </row>
    <row r="4" spans="1:46" x14ac:dyDescent="0.3">
      <c r="A4" s="1">
        <v>2025</v>
      </c>
      <c r="B4" s="4">
        <v>888516</v>
      </c>
      <c r="C4" s="4">
        <v>893631</v>
      </c>
      <c r="D4" s="4">
        <v>100516</v>
      </c>
      <c r="E4" s="4">
        <v>20257</v>
      </c>
      <c r="H4" s="1">
        <v>2025</v>
      </c>
      <c r="I4" s="5">
        <v>88279</v>
      </c>
      <c r="J4" s="5">
        <v>186312</v>
      </c>
      <c r="K4" s="5">
        <v>690104</v>
      </c>
      <c r="L4" s="5">
        <v>723309</v>
      </c>
      <c r="M4" s="5">
        <v>214916</v>
      </c>
      <c r="P4" s="1">
        <v>2025</v>
      </c>
      <c r="Q4" s="4">
        <v>88279</v>
      </c>
      <c r="R4" s="4">
        <v>110590</v>
      </c>
      <c r="S4" s="4">
        <v>276144</v>
      </c>
      <c r="T4" s="4">
        <v>296116</v>
      </c>
      <c r="U4" s="4">
        <v>117387</v>
      </c>
      <c r="V4" s="3"/>
      <c r="W4" s="3"/>
      <c r="X4" s="3"/>
      <c r="AA4" s="1">
        <v>2025</v>
      </c>
      <c r="AB4" s="5">
        <v>50826</v>
      </c>
      <c r="AC4" s="5">
        <v>406648</v>
      </c>
      <c r="AD4" s="5">
        <v>358885</v>
      </c>
      <c r="AE4" s="5">
        <v>77272</v>
      </c>
      <c r="AL4" s="1">
        <v>2025</v>
      </c>
      <c r="AM4" s="4">
        <v>24896</v>
      </c>
      <c r="AN4" s="4">
        <v>7312</v>
      </c>
      <c r="AO4" s="4">
        <v>68308</v>
      </c>
      <c r="AP4" s="3"/>
      <c r="AQ4" s="3"/>
      <c r="AR4" s="3"/>
      <c r="AS4" s="3"/>
      <c r="AT4" s="3"/>
    </row>
    <row r="5" spans="1:46" x14ac:dyDescent="0.3">
      <c r="A5" s="1">
        <v>2026</v>
      </c>
      <c r="B5" s="4">
        <v>617852</v>
      </c>
      <c r="C5" s="4">
        <v>782144</v>
      </c>
      <c r="D5" s="4">
        <v>75554</v>
      </c>
      <c r="E5" s="4">
        <v>12242</v>
      </c>
      <c r="H5" s="1">
        <v>2026</v>
      </c>
      <c r="I5" s="5">
        <v>35348</v>
      </c>
      <c r="J5" s="5">
        <v>160483</v>
      </c>
      <c r="K5" s="5">
        <v>516710</v>
      </c>
      <c r="L5" s="5">
        <v>579977</v>
      </c>
      <c r="M5" s="5">
        <v>195274</v>
      </c>
      <c r="P5" s="1">
        <v>2026</v>
      </c>
      <c r="Q5" s="4">
        <v>35348</v>
      </c>
      <c r="R5" s="4">
        <v>98283</v>
      </c>
      <c r="S5" s="4">
        <v>192154</v>
      </c>
      <c r="T5" s="4">
        <v>214296</v>
      </c>
      <c r="U5" s="4">
        <v>77771</v>
      </c>
      <c r="V5" s="3"/>
      <c r="W5" s="3"/>
      <c r="X5" s="3"/>
      <c r="AA5" s="1">
        <v>2026</v>
      </c>
      <c r="AB5" s="5">
        <v>49658</v>
      </c>
      <c r="AC5" s="5">
        <v>315047</v>
      </c>
      <c r="AD5" s="5">
        <v>312178</v>
      </c>
      <c r="AE5" s="5">
        <v>105261</v>
      </c>
      <c r="AL5" s="1">
        <v>2026</v>
      </c>
      <c r="AM5" s="4">
        <v>12542</v>
      </c>
      <c r="AN5" s="4">
        <v>9509</v>
      </c>
      <c r="AO5" s="4">
        <v>53503</v>
      </c>
      <c r="AP5" s="3"/>
      <c r="AQ5" s="3"/>
      <c r="AR5" s="3"/>
      <c r="AS5" s="3"/>
      <c r="AT5" s="3"/>
    </row>
    <row r="6" spans="1:46" x14ac:dyDescent="0.3">
      <c r="A6" s="1" t="s">
        <v>15</v>
      </c>
      <c r="B6" s="6">
        <v>-0.30462479009944698</v>
      </c>
      <c r="C6" s="6">
        <v>-0.12475731034397899</v>
      </c>
      <c r="D6" s="6">
        <v>-0.248338572963508</v>
      </c>
      <c r="E6" s="6">
        <v>-0.39566569580885602</v>
      </c>
      <c r="H6" s="1" t="s">
        <v>15</v>
      </c>
      <c r="I6" s="7">
        <v>-0.59958767090701104</v>
      </c>
      <c r="J6" s="7">
        <v>-0.138633045643866</v>
      </c>
      <c r="K6" s="7">
        <v>-0.25125778143584199</v>
      </c>
      <c r="L6" s="7">
        <v>-0.19816150497228699</v>
      </c>
      <c r="M6" s="7">
        <v>-9.1393846898323097E-2</v>
      </c>
      <c r="P6" s="1" t="s">
        <v>15</v>
      </c>
      <c r="Q6" s="6">
        <v>-0.59958767090701104</v>
      </c>
      <c r="R6" s="6">
        <v>-0.111284926304367</v>
      </c>
      <c r="S6" s="6">
        <v>-0.30415290573034398</v>
      </c>
      <c r="T6" s="6">
        <v>-0.27631063502141101</v>
      </c>
      <c r="U6" s="6">
        <v>-0.33748200396977501</v>
      </c>
      <c r="V6" s="3"/>
      <c r="W6" s="3"/>
      <c r="X6" s="3"/>
      <c r="AA6" s="1" t="s">
        <v>15</v>
      </c>
      <c r="AB6" s="7">
        <v>-2.29803643804352E-2</v>
      </c>
      <c r="AC6" s="7">
        <v>-0.22525870039936299</v>
      </c>
      <c r="AD6" s="7">
        <v>-0.13014475389052199</v>
      </c>
      <c r="AE6" s="7">
        <v>0.36221399730821002</v>
      </c>
      <c r="AL6" s="1" t="s">
        <v>15</v>
      </c>
      <c r="AM6" s="6">
        <v>-0.49622429305912602</v>
      </c>
      <c r="AN6" s="6">
        <v>0.30046498905908098</v>
      </c>
      <c r="AO6" s="6">
        <v>-0.21673888856356499</v>
      </c>
      <c r="AP6" s="3"/>
      <c r="AQ6" s="3"/>
      <c r="AR6" s="3"/>
      <c r="AS6" s="3"/>
      <c r="AT6" s="3"/>
    </row>
    <row r="7" spans="1:46" x14ac:dyDescent="0.3">
      <c r="A7" s="1" t="s">
        <v>16</v>
      </c>
      <c r="B7" s="6">
        <v>0.30889200537240302</v>
      </c>
      <c r="C7" s="6">
        <v>0.25859128095210498</v>
      </c>
      <c r="D7" s="6">
        <v>0.45992425413510601</v>
      </c>
      <c r="E7" s="6">
        <v>1.99315403422983</v>
      </c>
      <c r="H7" s="1" t="s">
        <v>16</v>
      </c>
      <c r="I7" s="7">
        <v>2.2530830112276798</v>
      </c>
      <c r="J7" s="7">
        <v>1.1902662717855601</v>
      </c>
      <c r="K7" s="7">
        <v>0.14391789277001199</v>
      </c>
      <c r="L7" s="7">
        <v>0.26623132780535902</v>
      </c>
      <c r="M7" s="7">
        <v>0.25614486507349399</v>
      </c>
      <c r="P7" s="1" t="s">
        <v>16</v>
      </c>
      <c r="Q7" s="6">
        <v>2.2530830112276798</v>
      </c>
      <c r="R7" s="6">
        <v>1.4586116322701701</v>
      </c>
      <c r="S7" s="6">
        <v>9.6982291083886202E-2</v>
      </c>
      <c r="T7" s="6">
        <v>0.148652197917057</v>
      </c>
      <c r="U7" s="6">
        <v>0.30769101425881101</v>
      </c>
      <c r="V7" s="3"/>
      <c r="W7" s="3"/>
      <c r="X7" s="3"/>
      <c r="AA7" s="1" t="s">
        <v>16</v>
      </c>
      <c r="AB7" s="7">
        <v>0.87424042272126801</v>
      </c>
      <c r="AC7" s="7">
        <v>0.172254821341529</v>
      </c>
      <c r="AD7" s="7">
        <v>0.33236877035291901</v>
      </c>
      <c r="AE7" s="7">
        <v>0.14547353987790099</v>
      </c>
      <c r="AL7" s="1" t="s">
        <v>16</v>
      </c>
      <c r="AM7" s="6">
        <v>0.84414056756359401</v>
      </c>
      <c r="AN7" s="6">
        <v>0.221765386097906</v>
      </c>
      <c r="AO7" s="6">
        <v>0.43949095996556198</v>
      </c>
      <c r="AP7" s="3"/>
      <c r="AQ7" s="3"/>
      <c r="AR7" s="3"/>
      <c r="AS7" s="3"/>
      <c r="AT7" s="3"/>
    </row>
    <row r="8" spans="1:46" x14ac:dyDescent="0.3">
      <c r="A8" s="9"/>
      <c r="B8" s="3"/>
      <c r="C8" s="3"/>
      <c r="D8" s="3"/>
      <c r="E8" s="3"/>
      <c r="P8" s="9" t="s">
        <v>17</v>
      </c>
      <c r="Q8" s="6">
        <v>5.7211112046250602E-2</v>
      </c>
      <c r="R8" s="6">
        <v>0.15907207551322999</v>
      </c>
      <c r="S8" s="6">
        <v>0.31100328233946001</v>
      </c>
      <c r="T8" s="6">
        <v>0.34684034364216698</v>
      </c>
      <c r="U8" s="6">
        <v>0.125873186458893</v>
      </c>
      <c r="V8" s="3"/>
      <c r="W8" s="3"/>
      <c r="X8" s="3"/>
      <c r="AA8" s="1" t="s">
        <v>17</v>
      </c>
      <c r="AB8" s="7">
        <v>6.3489587595123104E-2</v>
      </c>
      <c r="AC8" s="7">
        <v>0.40279922878651497</v>
      </c>
      <c r="AD8" s="7">
        <v>0.39913110629244702</v>
      </c>
      <c r="AE8" s="7">
        <v>0.13458007732591401</v>
      </c>
      <c r="AL8" s="1" t="s">
        <v>17</v>
      </c>
      <c r="AM8" s="6">
        <v>0.16600047648039801</v>
      </c>
      <c r="AN8" s="6">
        <v>0.12585700293829599</v>
      </c>
      <c r="AO8" s="6">
        <v>0.708142520581306</v>
      </c>
      <c r="AP8" s="3"/>
      <c r="AQ8" s="3"/>
      <c r="AR8" s="3"/>
      <c r="AS8" s="3"/>
      <c r="AT8" s="3"/>
    </row>
    <row r="9" spans="1:46" x14ac:dyDescent="0.3">
      <c r="A9" s="1" t="s">
        <v>18</v>
      </c>
      <c r="B9" s="2" t="s">
        <v>6</v>
      </c>
      <c r="C9" s="2" t="s">
        <v>7</v>
      </c>
      <c r="D9" s="2" t="s">
        <v>8</v>
      </c>
      <c r="E9" s="2" t="s">
        <v>9</v>
      </c>
      <c r="H9" s="1" t="s">
        <v>18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P9" s="3"/>
      <c r="Q9" s="3"/>
      <c r="R9" s="3"/>
      <c r="S9" s="3"/>
      <c r="T9" s="3"/>
      <c r="U9" s="3"/>
      <c r="V9" s="3"/>
      <c r="W9" s="3"/>
      <c r="X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 s="1">
        <v>2025</v>
      </c>
      <c r="B10" s="4">
        <v>2368271</v>
      </c>
      <c r="C10" s="4">
        <v>2410093</v>
      </c>
      <c r="D10" s="4">
        <v>257980</v>
      </c>
      <c r="E10" s="4">
        <v>43424</v>
      </c>
      <c r="H10" s="1">
        <v>2025</v>
      </c>
      <c r="I10" s="5">
        <v>202020</v>
      </c>
      <c r="J10" s="5">
        <v>446769</v>
      </c>
      <c r="K10" s="5">
        <v>1944714</v>
      </c>
      <c r="L10" s="5">
        <v>1913995</v>
      </c>
      <c r="M10" s="5">
        <v>572270</v>
      </c>
      <c r="P10" s="1" t="s">
        <v>18</v>
      </c>
      <c r="Q10" s="2" t="s">
        <v>10</v>
      </c>
      <c r="R10" s="2" t="s">
        <v>11</v>
      </c>
      <c r="S10" s="2" t="s">
        <v>12</v>
      </c>
      <c r="T10" s="2" t="s">
        <v>13</v>
      </c>
      <c r="U10" s="2" t="s">
        <v>14</v>
      </c>
      <c r="V10" s="3"/>
      <c r="W10" s="3"/>
      <c r="X10" s="3"/>
      <c r="AA10" s="1" t="s">
        <v>18</v>
      </c>
      <c r="AB10" s="2" t="s">
        <v>11</v>
      </c>
      <c r="AC10" s="2" t="s">
        <v>12</v>
      </c>
      <c r="AD10" s="2" t="s">
        <v>13</v>
      </c>
      <c r="AE10" s="2" t="s">
        <v>14</v>
      </c>
      <c r="AL10" s="1" t="s">
        <v>18</v>
      </c>
      <c r="AM10" s="2" t="s">
        <v>11</v>
      </c>
      <c r="AN10" s="2" t="s">
        <v>12</v>
      </c>
      <c r="AO10" s="2" t="s">
        <v>13</v>
      </c>
      <c r="AP10" s="3"/>
      <c r="AQ10" s="3"/>
      <c r="AR10" s="3"/>
      <c r="AS10" s="3"/>
      <c r="AT10" s="3"/>
    </row>
    <row r="11" spans="1:46" x14ac:dyDescent="0.3">
      <c r="A11" s="1">
        <v>2026</v>
      </c>
      <c r="B11" s="4">
        <v>1711905</v>
      </c>
      <c r="C11" s="4">
        <v>2258283</v>
      </c>
      <c r="D11" s="4">
        <v>209120</v>
      </c>
      <c r="E11" s="4">
        <v>21874</v>
      </c>
      <c r="H11" s="1">
        <v>2026</v>
      </c>
      <c r="I11" s="5">
        <v>56964</v>
      </c>
      <c r="J11" s="5">
        <v>319402</v>
      </c>
      <c r="K11" s="5">
        <v>1560738</v>
      </c>
      <c r="L11" s="5">
        <v>1651523</v>
      </c>
      <c r="M11" s="5">
        <v>612555</v>
      </c>
      <c r="P11" s="1">
        <v>2025</v>
      </c>
      <c r="Q11" s="4">
        <v>202020</v>
      </c>
      <c r="R11" s="4">
        <v>250329</v>
      </c>
      <c r="S11" s="4">
        <v>804509</v>
      </c>
      <c r="T11" s="4">
        <v>796434</v>
      </c>
      <c r="U11" s="4">
        <v>314979</v>
      </c>
      <c r="V11" s="3"/>
      <c r="W11" s="3"/>
      <c r="X11" s="3"/>
      <c r="AA11" s="1">
        <v>2025</v>
      </c>
      <c r="AB11" s="5">
        <v>137347</v>
      </c>
      <c r="AC11" s="5">
        <v>1118715</v>
      </c>
      <c r="AD11" s="5">
        <v>940166</v>
      </c>
      <c r="AE11" s="5">
        <v>213865</v>
      </c>
      <c r="AL11" s="1">
        <v>2025</v>
      </c>
      <c r="AM11" s="4">
        <v>59093</v>
      </c>
      <c r="AN11" s="4">
        <v>21490</v>
      </c>
      <c r="AO11" s="4">
        <v>177395</v>
      </c>
      <c r="AP11" s="3"/>
      <c r="AQ11" s="3"/>
      <c r="AR11" s="3"/>
      <c r="AS11" s="3"/>
      <c r="AT11" s="3"/>
    </row>
    <row r="12" spans="1:46" x14ac:dyDescent="0.3">
      <c r="A12" s="1" t="s">
        <v>15</v>
      </c>
      <c r="B12" s="6">
        <v>-0.277149870095103</v>
      </c>
      <c r="C12" s="6">
        <v>-6.2989270538522796E-2</v>
      </c>
      <c r="D12" s="6">
        <v>-0.18939452670749701</v>
      </c>
      <c r="E12" s="6">
        <v>-0.49626934414148899</v>
      </c>
      <c r="H12" s="1" t="s">
        <v>15</v>
      </c>
      <c r="I12" s="7">
        <v>-0.71802791802791799</v>
      </c>
      <c r="J12" s="7">
        <v>-0.28508468582197999</v>
      </c>
      <c r="K12" s="7">
        <v>-0.197445999771689</v>
      </c>
      <c r="L12" s="7">
        <v>-0.137133064610932</v>
      </c>
      <c r="M12" s="7">
        <v>7.0395093225225705E-2</v>
      </c>
      <c r="P12" s="1">
        <v>2026</v>
      </c>
      <c r="Q12" s="4">
        <v>56964</v>
      </c>
      <c r="R12" s="4">
        <v>184635</v>
      </c>
      <c r="S12" s="4">
        <v>597123</v>
      </c>
      <c r="T12" s="4">
        <v>640143</v>
      </c>
      <c r="U12" s="4">
        <v>233040</v>
      </c>
      <c r="V12" s="3"/>
      <c r="W12" s="3"/>
      <c r="X12" s="3"/>
      <c r="AA12" s="1">
        <v>2026</v>
      </c>
      <c r="AB12" s="5">
        <v>106141</v>
      </c>
      <c r="AC12" s="5">
        <v>935116</v>
      </c>
      <c r="AD12" s="5">
        <v>859386</v>
      </c>
      <c r="AE12" s="5">
        <v>357640</v>
      </c>
      <c r="AL12" s="1">
        <v>2026</v>
      </c>
      <c r="AM12" s="4">
        <v>28626</v>
      </c>
      <c r="AN12" s="4">
        <v>28499</v>
      </c>
      <c r="AO12" s="4">
        <v>151994</v>
      </c>
      <c r="AP12" s="3"/>
      <c r="AQ12" s="3"/>
      <c r="AR12" s="3"/>
      <c r="AS12" s="3"/>
      <c r="AT12" s="3"/>
    </row>
    <row r="13" spans="1:46" x14ac:dyDescent="0.3">
      <c r="A13" s="9"/>
      <c r="B13" s="3"/>
      <c r="C13" s="3"/>
      <c r="D13" s="3"/>
      <c r="E13" s="3"/>
      <c r="P13" s="1" t="s">
        <v>15</v>
      </c>
      <c r="Q13" s="6">
        <v>-0.71802791802791799</v>
      </c>
      <c r="R13" s="6">
        <v>-0.26243064127608101</v>
      </c>
      <c r="S13" s="6">
        <v>-0.257779589787063</v>
      </c>
      <c r="T13" s="6">
        <v>-0.19623848303814301</v>
      </c>
      <c r="U13" s="6">
        <v>-0.26014115226729401</v>
      </c>
      <c r="V13" s="3"/>
      <c r="W13" s="3"/>
      <c r="X13" s="3"/>
      <c r="AA13" s="1" t="s">
        <v>15</v>
      </c>
      <c r="AB13" s="7">
        <v>-0.227205545079252</v>
      </c>
      <c r="AC13" s="7">
        <v>-0.164115972343269</v>
      </c>
      <c r="AD13" s="7">
        <v>-8.5920996930329299E-2</v>
      </c>
      <c r="AE13" s="7">
        <v>0.67226988988380498</v>
      </c>
      <c r="AL13" s="1" t="s">
        <v>15</v>
      </c>
      <c r="AM13" s="6">
        <v>-0.51557714111654496</v>
      </c>
      <c r="AN13" s="6">
        <v>0.32615169846440201</v>
      </c>
      <c r="AO13" s="6">
        <v>-0.14318892866202501</v>
      </c>
      <c r="AP13" s="3"/>
      <c r="AQ13" s="3"/>
      <c r="AR13" s="3"/>
      <c r="AS13" s="3"/>
      <c r="AT13" s="3"/>
    </row>
    <row r="14" spans="1:46" x14ac:dyDescent="0.3">
      <c r="A14" s="1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H14" s="1" t="s">
        <v>19</v>
      </c>
      <c r="P14" s="1" t="s">
        <v>17</v>
      </c>
      <c r="Q14" s="6">
        <v>3.32752109492057E-2</v>
      </c>
      <c r="R14" s="6">
        <v>0.10785353159199799</v>
      </c>
      <c r="S14" s="6">
        <v>0.34880615454712699</v>
      </c>
      <c r="T14" s="6">
        <v>0.373936053694568</v>
      </c>
      <c r="U14" s="6">
        <v>0.13612904921710001</v>
      </c>
      <c r="V14" s="3"/>
      <c r="W14" s="3"/>
      <c r="X14" s="3"/>
      <c r="AA14" s="1" t="s">
        <v>17</v>
      </c>
      <c r="AB14" s="7">
        <v>4.70007523414913E-2</v>
      </c>
      <c r="AC14" s="7">
        <v>0.4140827345377</v>
      </c>
      <c r="AD14" s="7">
        <v>0.380548407794772</v>
      </c>
      <c r="AE14" s="7">
        <v>0.15836810532603801</v>
      </c>
      <c r="AL14" s="1" t="s">
        <v>17</v>
      </c>
      <c r="AM14" s="6">
        <v>0.13688791124713101</v>
      </c>
      <c r="AN14" s="6">
        <v>0.136280604437643</v>
      </c>
      <c r="AO14" s="6">
        <v>0.72682670237184399</v>
      </c>
      <c r="AP14" s="3"/>
      <c r="AQ14" s="3"/>
      <c r="AR14" s="3"/>
      <c r="AS14" s="3"/>
      <c r="AT14" s="3"/>
    </row>
    <row r="15" spans="1:46" x14ac:dyDescent="0.3">
      <c r="A15" s="1" t="s">
        <v>6</v>
      </c>
      <c r="B15" s="6">
        <v>0.410711302604652</v>
      </c>
      <c r="C15" s="6">
        <v>0.415281168335359</v>
      </c>
      <c r="D15" s="6">
        <v>0.455949951231303</v>
      </c>
      <c r="E15" s="6">
        <v>0.40748175156420302</v>
      </c>
      <c r="H15" s="1" t="s">
        <v>24</v>
      </c>
      <c r="I15" s="2" t="s">
        <v>20</v>
      </c>
      <c r="J15" s="2" t="s">
        <v>21</v>
      </c>
      <c r="K15" s="2" t="s">
        <v>22</v>
      </c>
      <c r="L15" s="2" t="s">
        <v>23</v>
      </c>
      <c r="P15" s="3"/>
      <c r="Q15" s="3"/>
      <c r="R15" s="3"/>
      <c r="S15" s="3"/>
      <c r="T15" s="3"/>
      <c r="U15" s="3"/>
      <c r="V15" s="3"/>
      <c r="W15" s="3"/>
      <c r="X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3">
      <c r="A16" s="1" t="s">
        <v>7</v>
      </c>
      <c r="B16" s="10">
        <v>0.54070204502109098</v>
      </c>
      <c r="C16" s="10">
        <v>0.52570789465194101</v>
      </c>
      <c r="D16" s="10">
        <v>0.48850778001147299</v>
      </c>
      <c r="E16" s="10">
        <v>0.53753515082184</v>
      </c>
      <c r="H16" s="1" t="s">
        <v>10</v>
      </c>
      <c r="I16" s="7">
        <v>9.4542202051981702E-3</v>
      </c>
      <c r="J16" s="7">
        <v>2.3758697452332E-2</v>
      </c>
      <c r="K16" s="7">
        <v>4.2087300222820999E-2</v>
      </c>
      <c r="L16" s="7">
        <v>1.3559041241250701E-2</v>
      </c>
      <c r="P16" s="1" t="s">
        <v>19</v>
      </c>
      <c r="Q16" s="3"/>
      <c r="R16" s="3"/>
      <c r="S16" s="3"/>
      <c r="T16" s="3"/>
      <c r="U16" s="3"/>
      <c r="V16" s="3"/>
      <c r="W16" s="3"/>
      <c r="X16" s="3"/>
      <c r="AA16" s="1" t="s">
        <v>19</v>
      </c>
      <c r="AL16" s="1" t="s">
        <v>19</v>
      </c>
      <c r="AM16" s="3"/>
      <c r="AN16" s="3"/>
      <c r="AO16" s="3"/>
      <c r="AP16" s="3"/>
      <c r="AQ16" s="3"/>
      <c r="AR16" s="3"/>
      <c r="AS16" s="3"/>
      <c r="AT16" s="3"/>
    </row>
    <row r="17" spans="1:46" x14ac:dyDescent="0.3">
      <c r="A17" s="1" t="s">
        <v>8</v>
      </c>
      <c r="B17" s="6">
        <v>4.5028051174251398E-2</v>
      </c>
      <c r="C17" s="6">
        <v>5.0782636282491099E-2</v>
      </c>
      <c r="D17" s="6">
        <v>4.8379866443561903E-2</v>
      </c>
      <c r="E17" s="6">
        <v>4.9776467670289003E-2</v>
      </c>
      <c r="H17" s="1" t="s">
        <v>11</v>
      </c>
      <c r="I17" s="7">
        <v>6.3751165898681697E-2</v>
      </c>
      <c r="J17" s="7">
        <v>0.10786655661544101</v>
      </c>
      <c r="K17" s="7">
        <v>9.2473917683886894E-2</v>
      </c>
      <c r="L17" s="7">
        <v>7.6026699152762306E-2</v>
      </c>
      <c r="P17" s="3"/>
      <c r="Q17" s="1" t="s">
        <v>25</v>
      </c>
      <c r="R17" s="1" t="s">
        <v>26</v>
      </c>
      <c r="S17" s="1" t="s">
        <v>15</v>
      </c>
      <c r="T17" s="1" t="s">
        <v>16</v>
      </c>
      <c r="U17" s="1" t="s">
        <v>27</v>
      </c>
      <c r="V17" s="1" t="s">
        <v>17</v>
      </c>
      <c r="W17" s="1" t="s">
        <v>28</v>
      </c>
      <c r="X17" s="1" t="s">
        <v>29</v>
      </c>
      <c r="AB17" s="1" t="s">
        <v>25</v>
      </c>
      <c r="AC17" s="1" t="s">
        <v>26</v>
      </c>
      <c r="AD17" s="1" t="s">
        <v>15</v>
      </c>
      <c r="AE17" s="1" t="s">
        <v>16</v>
      </c>
      <c r="AF17" s="1" t="s">
        <v>27</v>
      </c>
      <c r="AG17" s="1" t="s">
        <v>17</v>
      </c>
      <c r="AH17" s="1" t="s">
        <v>28</v>
      </c>
      <c r="AI17" s="1" t="s">
        <v>29</v>
      </c>
      <c r="AL17" s="3"/>
      <c r="AM17" s="1" t="s">
        <v>25</v>
      </c>
      <c r="AN17" s="1" t="s">
        <v>26</v>
      </c>
      <c r="AO17" s="1" t="s">
        <v>15</v>
      </c>
      <c r="AP17" s="1" t="s">
        <v>16</v>
      </c>
      <c r="AQ17" s="1" t="s">
        <v>27</v>
      </c>
      <c r="AR17" s="1" t="s">
        <v>17</v>
      </c>
      <c r="AS17" s="1" t="s">
        <v>28</v>
      </c>
      <c r="AT17" s="1" t="s">
        <v>29</v>
      </c>
    </row>
    <row r="18" spans="1:46" x14ac:dyDescent="0.3">
      <c r="A18" s="1" t="s">
        <v>9</v>
      </c>
      <c r="B18" s="6">
        <v>3.55860120000557E-3</v>
      </c>
      <c r="C18" s="6">
        <v>8.2283007302096003E-3</v>
      </c>
      <c r="D18" s="6">
        <v>7.1624023136618699E-3</v>
      </c>
      <c r="E18" s="6">
        <v>5.2066299436682303E-3</v>
      </c>
      <c r="H18" s="1" t="s">
        <v>12</v>
      </c>
      <c r="I18" s="7">
        <v>0.39301400470535802</v>
      </c>
      <c r="J18" s="7">
        <v>0.34729989138266598</v>
      </c>
      <c r="K18" s="7">
        <v>0.35781767316291802</v>
      </c>
      <c r="L18" s="7">
        <v>0.37149973507455802</v>
      </c>
      <c r="P18" s="3">
        <v>1</v>
      </c>
      <c r="Q18" s="3" t="s">
        <v>30</v>
      </c>
      <c r="R18" s="4">
        <v>30393</v>
      </c>
      <c r="S18" s="6">
        <v>-0.144148456859653</v>
      </c>
      <c r="T18" s="6">
        <v>1.55039019887556</v>
      </c>
      <c r="U18" s="6" t="s">
        <v>11</v>
      </c>
      <c r="V18" s="6">
        <v>4.9191392113321603E-2</v>
      </c>
      <c r="W18" s="3">
        <v>10</v>
      </c>
      <c r="X18" s="11">
        <v>5.7187999999999999</v>
      </c>
      <c r="AA18">
        <v>1</v>
      </c>
      <c r="AB18" t="s">
        <v>31</v>
      </c>
      <c r="AC18" s="5">
        <v>30942</v>
      </c>
      <c r="AD18" s="7">
        <v>-0.33605132716777902</v>
      </c>
      <c r="AE18" s="7">
        <v>0.73063370434588104</v>
      </c>
      <c r="AF18" s="7" t="s">
        <v>13</v>
      </c>
      <c r="AG18" s="7">
        <v>3.9560490139923098E-2</v>
      </c>
      <c r="AH18">
        <v>1</v>
      </c>
      <c r="AI18" s="12">
        <v>6.5894000000000004</v>
      </c>
      <c r="AL18" s="3">
        <v>1</v>
      </c>
      <c r="AM18" s="3" t="s">
        <v>32</v>
      </c>
      <c r="AN18" s="4">
        <v>7320</v>
      </c>
      <c r="AO18" s="6">
        <v>-0.10349050826699301</v>
      </c>
      <c r="AP18" s="6">
        <v>0.44122858830478401</v>
      </c>
      <c r="AQ18" s="6" t="s">
        <v>13</v>
      </c>
      <c r="AR18" s="6">
        <v>9.6884347618921604E-2</v>
      </c>
      <c r="AS18" s="3">
        <v>1</v>
      </c>
      <c r="AT18" s="11">
        <v>2.1175999999999999</v>
      </c>
    </row>
    <row r="19" spans="1:46" x14ac:dyDescent="0.3">
      <c r="H19" s="9" t="s">
        <v>13</v>
      </c>
      <c r="I19" s="7">
        <v>0.398523311013044</v>
      </c>
      <c r="J19" s="7">
        <v>0.38982398077150598</v>
      </c>
      <c r="K19" s="7">
        <v>0.37728378785531802</v>
      </c>
      <c r="L19" s="7">
        <v>0.39310912976395701</v>
      </c>
      <c r="P19" s="3">
        <v>2</v>
      </c>
      <c r="Q19" s="3" t="s">
        <v>52</v>
      </c>
      <c r="R19" s="4">
        <v>17197</v>
      </c>
      <c r="S19" s="6">
        <v>0.510761662127734</v>
      </c>
      <c r="T19" s="6">
        <v>1.86187385588284</v>
      </c>
      <c r="U19" s="6" t="s">
        <v>11</v>
      </c>
      <c r="V19" s="6">
        <v>2.7833526475596101E-2</v>
      </c>
      <c r="W19" s="3">
        <v>20</v>
      </c>
      <c r="X19" s="11">
        <v>2.9055</v>
      </c>
      <c r="AA19">
        <v>2</v>
      </c>
      <c r="AB19" t="s">
        <v>38</v>
      </c>
      <c r="AC19" s="5">
        <v>24174</v>
      </c>
      <c r="AD19" s="7" t="e">
        <v>#DIV/0!</v>
      </c>
      <c r="AE19" s="7">
        <v>0.508329693641979</v>
      </c>
      <c r="AF19" s="7" t="s">
        <v>13</v>
      </c>
      <c r="AG19" s="7">
        <v>3.0907352098846201E-2</v>
      </c>
      <c r="AH19">
        <v>1</v>
      </c>
      <c r="AI19" s="12">
        <v>5.7070999999999996</v>
      </c>
      <c r="AL19" s="3">
        <v>2</v>
      </c>
      <c r="AM19" s="3" t="s">
        <v>42</v>
      </c>
      <c r="AN19" s="4">
        <v>6618</v>
      </c>
      <c r="AO19" s="6" t="e">
        <v>#DIV/0!</v>
      </c>
      <c r="AP19" s="6">
        <v>0.21186595861563801</v>
      </c>
      <c r="AQ19" s="6" t="s">
        <v>12</v>
      </c>
      <c r="AR19" s="6">
        <v>8.7592979855467601E-2</v>
      </c>
      <c r="AS19" s="3">
        <v>-1</v>
      </c>
      <c r="AT19" s="11">
        <v>1.8966000000000001</v>
      </c>
    </row>
    <row r="20" spans="1:46" x14ac:dyDescent="0.3">
      <c r="H20" s="1" t="s">
        <v>14</v>
      </c>
      <c r="I20" s="7">
        <v>0.13525729817771801</v>
      </c>
      <c r="J20" s="7">
        <v>0.131250873778055</v>
      </c>
      <c r="K20" s="7">
        <v>0.130337321075056</v>
      </c>
      <c r="L20" s="7">
        <v>0.14580539476747301</v>
      </c>
      <c r="P20" s="3">
        <v>3</v>
      </c>
      <c r="Q20" s="3" t="s">
        <v>46</v>
      </c>
      <c r="R20" s="4">
        <v>16068</v>
      </c>
      <c r="S20" s="6">
        <v>-0.120381014944983</v>
      </c>
      <c r="T20" s="6">
        <v>-0.28071981735977403</v>
      </c>
      <c r="U20" s="6" t="s">
        <v>12</v>
      </c>
      <c r="V20" s="6">
        <v>2.6006228028718902E-2</v>
      </c>
      <c r="W20" s="3">
        <v>-2</v>
      </c>
      <c r="X20" s="11">
        <v>6.6044999999999998</v>
      </c>
      <c r="AA20">
        <v>3</v>
      </c>
      <c r="AB20" t="s">
        <v>47</v>
      </c>
      <c r="AC20" s="5">
        <v>21177</v>
      </c>
      <c r="AD20" s="7">
        <v>0.297212863705972</v>
      </c>
      <c r="AE20" s="7">
        <v>3.04604508979748</v>
      </c>
      <c r="AF20" s="7" t="s">
        <v>11</v>
      </c>
      <c r="AG20" s="7">
        <v>2.7075576875869398E-2</v>
      </c>
      <c r="AH20">
        <v>27</v>
      </c>
      <c r="AI20" s="12">
        <v>3.1909000000000001</v>
      </c>
      <c r="AL20" s="3">
        <v>3</v>
      </c>
      <c r="AM20" s="3" t="s">
        <v>39</v>
      </c>
      <c r="AN20" s="4">
        <v>6137</v>
      </c>
      <c r="AO20" s="6">
        <v>8.6040688575899793</v>
      </c>
      <c r="AP20" s="6">
        <v>0.48272529596520902</v>
      </c>
      <c r="AQ20" s="6" t="s">
        <v>13</v>
      </c>
      <c r="AR20" s="6">
        <v>8.12266723138418E-2</v>
      </c>
      <c r="AS20" s="3">
        <v>1</v>
      </c>
      <c r="AT20" s="11">
        <v>1.5084</v>
      </c>
    </row>
    <row r="21" spans="1:46" x14ac:dyDescent="0.3">
      <c r="P21" s="3">
        <v>4</v>
      </c>
      <c r="Q21" s="3" t="s">
        <v>37</v>
      </c>
      <c r="R21" s="4">
        <v>15907</v>
      </c>
      <c r="S21" s="6">
        <v>-0.37081718218495402</v>
      </c>
      <c r="T21" s="6">
        <v>0.24487400219126601</v>
      </c>
      <c r="U21" s="6" t="s">
        <v>13</v>
      </c>
      <c r="V21" s="6">
        <v>2.5745647825045501E-2</v>
      </c>
      <c r="W21" s="3">
        <v>2</v>
      </c>
      <c r="X21" s="11">
        <v>3.07</v>
      </c>
      <c r="AA21">
        <v>4</v>
      </c>
      <c r="AB21" t="s">
        <v>68</v>
      </c>
      <c r="AC21" s="5">
        <v>17152</v>
      </c>
      <c r="AD21" s="7">
        <v>33.099403578528801</v>
      </c>
      <c r="AE21" s="7">
        <v>0.45664543524416101</v>
      </c>
      <c r="AF21" s="7" t="s">
        <v>34</v>
      </c>
      <c r="AG21" s="7">
        <v>2.19294656738401E-2</v>
      </c>
      <c r="AH21">
        <v>8</v>
      </c>
      <c r="AI21" s="12">
        <v>4.7371999999999996</v>
      </c>
      <c r="AL21" s="3">
        <v>4</v>
      </c>
      <c r="AM21" s="3" t="s">
        <v>36</v>
      </c>
      <c r="AN21" s="4">
        <v>5880</v>
      </c>
      <c r="AO21" s="6">
        <v>-0.28161270616982298</v>
      </c>
      <c r="AP21" s="6">
        <v>0.30608618391825798</v>
      </c>
      <c r="AQ21" s="6" t="s">
        <v>13</v>
      </c>
      <c r="AR21" s="6">
        <v>7.78251316938878E-2</v>
      </c>
      <c r="AS21" s="3">
        <v>-1</v>
      </c>
      <c r="AT21" s="11">
        <v>1.7561</v>
      </c>
    </row>
    <row r="22" spans="1:46" x14ac:dyDescent="0.3">
      <c r="P22" s="3">
        <v>5</v>
      </c>
      <c r="Q22" s="3" t="s">
        <v>58</v>
      </c>
      <c r="R22" s="4">
        <v>14762</v>
      </c>
      <c r="S22" s="6">
        <v>-0.45348191477546201</v>
      </c>
      <c r="T22" s="6">
        <v>1.2315948601662901</v>
      </c>
      <c r="U22" s="6" t="s">
        <v>12</v>
      </c>
      <c r="V22" s="6">
        <v>2.3892453208859101E-2</v>
      </c>
      <c r="W22" s="3">
        <v>13</v>
      </c>
      <c r="X22" s="11">
        <v>3.1364999999999998</v>
      </c>
      <c r="AA22">
        <v>5</v>
      </c>
      <c r="AB22" t="s">
        <v>41</v>
      </c>
      <c r="AC22" s="5">
        <v>15387</v>
      </c>
      <c r="AD22" s="7" t="e">
        <v>#DIV/0!</v>
      </c>
      <c r="AE22" s="7">
        <v>1.4288871349644801</v>
      </c>
      <c r="AF22" s="7" t="s">
        <v>13</v>
      </c>
      <c r="AG22" s="7">
        <v>1.9672847966614799E-2</v>
      </c>
      <c r="AH22">
        <v>22</v>
      </c>
      <c r="AI22" s="12">
        <v>2.8717000000000001</v>
      </c>
      <c r="AL22" s="3">
        <v>5</v>
      </c>
      <c r="AM22" s="3" t="s">
        <v>45</v>
      </c>
      <c r="AN22" s="4">
        <v>4737</v>
      </c>
      <c r="AO22" s="6">
        <v>-0.20799197458619001</v>
      </c>
      <c r="AP22" s="6">
        <v>0.38427819988310902</v>
      </c>
      <c r="AQ22" s="6" t="s">
        <v>13</v>
      </c>
      <c r="AR22" s="6">
        <v>6.2696879053392301E-2</v>
      </c>
      <c r="AS22" s="3">
        <v>0</v>
      </c>
      <c r="AT22" s="11">
        <v>1.4812000000000001</v>
      </c>
    </row>
    <row r="23" spans="1:46" x14ac:dyDescent="0.3">
      <c r="P23" s="3">
        <v>6</v>
      </c>
      <c r="Q23" s="3" t="s">
        <v>40</v>
      </c>
      <c r="R23" s="4">
        <v>14267</v>
      </c>
      <c r="S23" s="6">
        <v>-0.62275575768793501</v>
      </c>
      <c r="T23" s="6">
        <v>1.7279158699808801</v>
      </c>
      <c r="U23" s="6" t="s">
        <v>10</v>
      </c>
      <c r="V23" s="6">
        <v>2.30912904708571E-2</v>
      </c>
      <c r="W23" s="3">
        <v>20</v>
      </c>
      <c r="X23" s="11">
        <v>2.4424000000000001</v>
      </c>
      <c r="AA23">
        <v>6</v>
      </c>
      <c r="AB23" t="s">
        <v>59</v>
      </c>
      <c r="AC23" s="5">
        <v>14063</v>
      </c>
      <c r="AD23" s="7" t="e">
        <v>#DIV/0!</v>
      </c>
      <c r="AE23" s="7">
        <v>0.27014089595375701</v>
      </c>
      <c r="AF23" s="7" t="s">
        <v>13</v>
      </c>
      <c r="AG23" s="7">
        <v>1.79800650519597E-2</v>
      </c>
      <c r="AH23">
        <v>7</v>
      </c>
      <c r="AI23" s="12">
        <v>4.2725</v>
      </c>
      <c r="AL23" s="3">
        <v>6</v>
      </c>
      <c r="AM23" s="3" t="s">
        <v>60</v>
      </c>
      <c r="AN23" s="4">
        <v>4503</v>
      </c>
      <c r="AO23" s="6">
        <v>-0.45305477954573098</v>
      </c>
      <c r="AP23" s="6">
        <v>0.750097162844928</v>
      </c>
      <c r="AQ23" s="6" t="s">
        <v>11</v>
      </c>
      <c r="AR23" s="6">
        <v>5.9599756465574298E-2</v>
      </c>
      <c r="AS23" s="3">
        <v>0</v>
      </c>
      <c r="AT23" s="11">
        <v>1.0561</v>
      </c>
    </row>
    <row r="24" spans="1:46" x14ac:dyDescent="0.3">
      <c r="P24" s="3">
        <v>7</v>
      </c>
      <c r="Q24" s="3" t="s">
        <v>73</v>
      </c>
      <c r="R24" s="4">
        <v>14253</v>
      </c>
      <c r="S24" s="6">
        <v>-0.57200768722599205</v>
      </c>
      <c r="T24" s="6">
        <v>1.46976260613412</v>
      </c>
      <c r="U24" s="6" t="s">
        <v>11</v>
      </c>
      <c r="V24" s="6">
        <v>2.30686313227116E-2</v>
      </c>
      <c r="W24" s="3">
        <v>18</v>
      </c>
      <c r="X24" s="11">
        <v>2.5547</v>
      </c>
      <c r="AA24">
        <v>7</v>
      </c>
      <c r="AB24" t="s">
        <v>50</v>
      </c>
      <c r="AC24" s="5">
        <v>13816</v>
      </c>
      <c r="AD24" s="7">
        <v>-0.32853810264385702</v>
      </c>
      <c r="AE24" s="7">
        <v>0.48431456811345103</v>
      </c>
      <c r="AF24" s="7" t="s">
        <v>12</v>
      </c>
      <c r="AG24" s="7">
        <v>1.7664266426642702E-2</v>
      </c>
      <c r="AH24">
        <v>9</v>
      </c>
      <c r="AI24" s="12">
        <v>3.1762999999999999</v>
      </c>
      <c r="AL24" s="3">
        <v>7</v>
      </c>
      <c r="AM24" s="3" t="s">
        <v>57</v>
      </c>
      <c r="AN24" s="4">
        <v>4216</v>
      </c>
      <c r="AO24" s="6">
        <v>-7.0956368444248602E-2</v>
      </c>
      <c r="AP24" s="6">
        <v>0.87962550156040997</v>
      </c>
      <c r="AQ24" s="6" t="s">
        <v>13</v>
      </c>
      <c r="AR24" s="6">
        <v>5.5801148847182097E-2</v>
      </c>
      <c r="AS24" s="3">
        <v>2</v>
      </c>
      <c r="AT24" s="11">
        <v>1.0176000000000001</v>
      </c>
    </row>
    <row r="25" spans="1:46" x14ac:dyDescent="0.3">
      <c r="P25" s="3">
        <v>8</v>
      </c>
      <c r="Q25" s="3" t="s">
        <v>49</v>
      </c>
      <c r="R25" s="4">
        <v>13174</v>
      </c>
      <c r="S25" s="6">
        <v>-0.185382141973782</v>
      </c>
      <c r="T25" s="6">
        <v>0.22457705893288701</v>
      </c>
      <c r="U25" s="6" t="s">
        <v>13</v>
      </c>
      <c r="V25" s="6">
        <v>2.13222584049255E-2</v>
      </c>
      <c r="W25" s="3">
        <v>5</v>
      </c>
      <c r="X25" s="11">
        <v>4.0006000000000004</v>
      </c>
      <c r="AA25">
        <v>8</v>
      </c>
      <c r="AB25" t="s">
        <v>82</v>
      </c>
      <c r="AC25" s="5">
        <v>13767</v>
      </c>
      <c r="AD25" s="7" t="e">
        <v>#DIV/0!</v>
      </c>
      <c r="AE25" s="7">
        <v>-0.31606140394455801</v>
      </c>
      <c r="AF25" s="7" t="s">
        <v>34</v>
      </c>
      <c r="AG25" s="7">
        <v>1.76016181163571E-2</v>
      </c>
      <c r="AH25">
        <v>-7</v>
      </c>
      <c r="AI25" s="12">
        <v>7.1760999999999999</v>
      </c>
      <c r="AL25" s="3">
        <v>8</v>
      </c>
      <c r="AM25" s="3" t="s">
        <v>51</v>
      </c>
      <c r="AN25" s="4">
        <v>3884</v>
      </c>
      <c r="AO25" s="6">
        <v>-0.13535173642030299</v>
      </c>
      <c r="AP25" s="6">
        <v>2.2915254237288099</v>
      </c>
      <c r="AQ25" s="6" t="s">
        <v>11</v>
      </c>
      <c r="AR25" s="6">
        <v>5.1406940731132701E-2</v>
      </c>
      <c r="AS25" s="3">
        <v>6</v>
      </c>
      <c r="AT25" s="11">
        <v>0.66779999999999995</v>
      </c>
    </row>
    <row r="26" spans="1:46" x14ac:dyDescent="0.3">
      <c r="P26" s="3">
        <v>9</v>
      </c>
      <c r="Q26" s="3" t="s">
        <v>78</v>
      </c>
      <c r="R26" s="4">
        <v>12414</v>
      </c>
      <c r="S26" s="6">
        <v>-0.33968085106383</v>
      </c>
      <c r="T26" s="6">
        <v>-0.29621860649696702</v>
      </c>
      <c r="U26" s="6" t="s">
        <v>12</v>
      </c>
      <c r="V26" s="6">
        <v>2.0092190362740601E-2</v>
      </c>
      <c r="W26" s="3">
        <v>-6</v>
      </c>
      <c r="X26" s="11">
        <v>5.2111000000000001</v>
      </c>
      <c r="AA26">
        <v>9</v>
      </c>
      <c r="AB26" t="s">
        <v>62</v>
      </c>
      <c r="AC26" s="5">
        <v>13357</v>
      </c>
      <c r="AD26" s="7">
        <v>-5.41707973374876E-2</v>
      </c>
      <c r="AE26" s="7">
        <v>-2.36111111111111E-2</v>
      </c>
      <c r="AF26" s="7" t="s">
        <v>12</v>
      </c>
      <c r="AG26" s="7">
        <v>1.70774179690696E-2</v>
      </c>
      <c r="AH26">
        <v>-2</v>
      </c>
      <c r="AI26" s="12">
        <v>4.3249000000000004</v>
      </c>
      <c r="AL26" s="3">
        <v>9</v>
      </c>
      <c r="AM26" s="3" t="s">
        <v>54</v>
      </c>
      <c r="AN26" s="4">
        <v>3863</v>
      </c>
      <c r="AO26" s="6">
        <v>-6.7133542622554901E-2</v>
      </c>
      <c r="AP26" s="6">
        <v>0.80682881197380696</v>
      </c>
      <c r="AQ26" s="6" t="s">
        <v>13</v>
      </c>
      <c r="AR26" s="6">
        <v>5.1128993832226001E-2</v>
      </c>
      <c r="AS26" s="3">
        <v>2</v>
      </c>
      <c r="AT26" s="11">
        <v>1.0356000000000001</v>
      </c>
    </row>
    <row r="27" spans="1:46" x14ac:dyDescent="0.3">
      <c r="P27" s="3">
        <v>10</v>
      </c>
      <c r="Q27" s="3" t="s">
        <v>81</v>
      </c>
      <c r="R27" s="4">
        <v>12124</v>
      </c>
      <c r="S27" s="6">
        <v>-0.321620411817368</v>
      </c>
      <c r="T27" s="6">
        <v>-0.32381483547127698</v>
      </c>
      <c r="U27" s="6" t="s">
        <v>13</v>
      </c>
      <c r="V27" s="6">
        <v>1.9622822294012202E-2</v>
      </c>
      <c r="W27" s="3">
        <v>-8</v>
      </c>
      <c r="X27" s="11">
        <v>5.1509</v>
      </c>
      <c r="AA27">
        <v>10</v>
      </c>
      <c r="AB27" t="s">
        <v>53</v>
      </c>
      <c r="AC27" s="5">
        <v>12977</v>
      </c>
      <c r="AD27" s="7" t="e">
        <v>#DIV/0!</v>
      </c>
      <c r="AE27" s="7">
        <v>2.6668550437976801</v>
      </c>
      <c r="AF27" s="7" t="s">
        <v>12</v>
      </c>
      <c r="AG27" s="7">
        <v>1.6591573930120299E-2</v>
      </c>
      <c r="AH27">
        <v>43</v>
      </c>
      <c r="AI27" s="12">
        <v>2.0653000000000001</v>
      </c>
      <c r="AL27" s="3">
        <v>10</v>
      </c>
      <c r="AM27" s="3" t="s">
        <v>48</v>
      </c>
      <c r="AN27" s="4">
        <v>3486</v>
      </c>
      <c r="AO27" s="6">
        <v>-0.62415094339622601</v>
      </c>
      <c r="AP27" s="6">
        <v>0.54043305346884696</v>
      </c>
      <c r="AQ27" s="6" t="s">
        <v>13</v>
      </c>
      <c r="AR27" s="6">
        <v>4.6139185218519202E-2</v>
      </c>
      <c r="AS27" s="3">
        <v>-2</v>
      </c>
      <c r="AT27" s="11">
        <v>0.91369999999999996</v>
      </c>
    </row>
    <row r="28" spans="1:46" x14ac:dyDescent="0.3">
      <c r="P28" s="3">
        <v>11</v>
      </c>
      <c r="Q28" s="3" t="s">
        <v>64</v>
      </c>
      <c r="R28" s="4">
        <v>11230</v>
      </c>
      <c r="S28" s="6">
        <v>-0.28489556800815102</v>
      </c>
      <c r="T28" s="6">
        <v>-0.18386627906976699</v>
      </c>
      <c r="U28" s="6" t="s">
        <v>13</v>
      </c>
      <c r="V28" s="6">
        <v>1.8175873833863099E-2</v>
      </c>
      <c r="W28" s="3">
        <v>-6</v>
      </c>
      <c r="X28" s="11">
        <v>4.3326000000000002</v>
      </c>
      <c r="AA28">
        <v>11</v>
      </c>
      <c r="AB28" t="s">
        <v>65</v>
      </c>
      <c r="AC28" s="5">
        <v>12862</v>
      </c>
      <c r="AD28" s="7">
        <v>-0.157805133577789</v>
      </c>
      <c r="AE28" s="7">
        <v>6.9782916077518103E-2</v>
      </c>
      <c r="AF28" s="7" t="s">
        <v>12</v>
      </c>
      <c r="AG28" s="7">
        <v>1.6444542181490902E-2</v>
      </c>
      <c r="AH28">
        <v>0</v>
      </c>
      <c r="AI28" s="12">
        <v>4.3475000000000001</v>
      </c>
      <c r="AL28" s="3">
        <v>11</v>
      </c>
      <c r="AM28" s="3" t="s">
        <v>63</v>
      </c>
      <c r="AN28" s="4">
        <v>2962</v>
      </c>
      <c r="AO28" s="6">
        <v>-0.55478731399368697</v>
      </c>
      <c r="AP28" s="6">
        <v>0.37959944108057803</v>
      </c>
      <c r="AQ28" s="6" t="s">
        <v>11</v>
      </c>
      <c r="AR28" s="6">
        <v>3.92037483124653E-2</v>
      </c>
      <c r="AS28" s="3">
        <v>-1</v>
      </c>
      <c r="AT28" s="11">
        <v>0.78269999999999995</v>
      </c>
    </row>
    <row r="29" spans="1:46" x14ac:dyDescent="0.3">
      <c r="P29" s="3">
        <v>12</v>
      </c>
      <c r="Q29" s="3" t="s">
        <v>61</v>
      </c>
      <c r="R29" s="4">
        <v>11203</v>
      </c>
      <c r="S29" s="6">
        <v>399.107142857143</v>
      </c>
      <c r="T29" s="6">
        <v>2.5895546299263099</v>
      </c>
      <c r="U29" s="6" t="s">
        <v>12</v>
      </c>
      <c r="V29" s="6">
        <v>1.8132174048153898E-2</v>
      </c>
      <c r="W29" s="3">
        <v>31</v>
      </c>
      <c r="X29" s="11">
        <v>2.1086999999999998</v>
      </c>
      <c r="AA29">
        <v>12</v>
      </c>
      <c r="AB29" t="s">
        <v>77</v>
      </c>
      <c r="AC29" s="5">
        <v>12860</v>
      </c>
      <c r="AD29" s="7">
        <v>-0.27217159997736201</v>
      </c>
      <c r="AE29" s="7">
        <v>0.46020211195639799</v>
      </c>
      <c r="AF29" s="7" t="s">
        <v>12</v>
      </c>
      <c r="AG29" s="7">
        <v>1.6441985107601701E-2</v>
      </c>
      <c r="AH29">
        <v>6</v>
      </c>
      <c r="AI29" s="12">
        <v>3.5185</v>
      </c>
      <c r="AL29" s="3">
        <v>12</v>
      </c>
      <c r="AM29" s="3" t="s">
        <v>69</v>
      </c>
      <c r="AN29" s="4">
        <v>2564</v>
      </c>
      <c r="AO29" s="6">
        <v>1.56143856143856</v>
      </c>
      <c r="AP29" s="6">
        <v>0.35374868004223903</v>
      </c>
      <c r="AQ29" s="6" t="s">
        <v>13</v>
      </c>
      <c r="AR29" s="6">
        <v>3.3935992799851801E-2</v>
      </c>
      <c r="AS29" s="3">
        <v>0</v>
      </c>
      <c r="AT29" s="11">
        <v>0.83330000000000004</v>
      </c>
    </row>
    <row r="30" spans="1:46" x14ac:dyDescent="0.3">
      <c r="P30" s="3">
        <v>13</v>
      </c>
      <c r="Q30" s="3" t="s">
        <v>83</v>
      </c>
      <c r="R30" s="4">
        <v>10836</v>
      </c>
      <c r="S30" s="6">
        <v>-9.9626090569173306E-2</v>
      </c>
      <c r="T30" s="6">
        <v>-0.22748984102088801</v>
      </c>
      <c r="U30" s="6" t="s">
        <v>13</v>
      </c>
      <c r="V30" s="6">
        <v>1.7538180664625199E-2</v>
      </c>
      <c r="W30" s="3">
        <v>-9</v>
      </c>
      <c r="X30" s="11">
        <v>4.1083999999999996</v>
      </c>
      <c r="AA30">
        <v>13</v>
      </c>
      <c r="AB30" t="s">
        <v>84</v>
      </c>
      <c r="AC30" s="5">
        <v>12719</v>
      </c>
      <c r="AD30" s="7">
        <v>-0.11771642619311901</v>
      </c>
      <c r="AE30" s="7">
        <v>2.56430932989276E-2</v>
      </c>
      <c r="AF30" s="7" t="s">
        <v>12</v>
      </c>
      <c r="AG30" s="7">
        <v>1.62617113984126E-2</v>
      </c>
      <c r="AH30">
        <v>-3</v>
      </c>
      <c r="AI30" s="12">
        <v>4.1635999999999997</v>
      </c>
      <c r="AL30" s="3">
        <v>13</v>
      </c>
      <c r="AM30" s="3" t="s">
        <v>80</v>
      </c>
      <c r="AN30" s="4">
        <v>2140</v>
      </c>
      <c r="AO30" s="6" t="e">
        <v>#DIV/0!</v>
      </c>
      <c r="AP30" s="6">
        <v>-0.13219789132197901</v>
      </c>
      <c r="AQ30" s="6" t="s">
        <v>13</v>
      </c>
      <c r="AR30" s="6">
        <v>2.8324112555258501E-2</v>
      </c>
      <c r="AS30" s="3">
        <v>-6</v>
      </c>
      <c r="AT30" s="11">
        <v>0.75439999999999996</v>
      </c>
    </row>
    <row r="31" spans="1:46" x14ac:dyDescent="0.3">
      <c r="P31" s="3">
        <v>14</v>
      </c>
      <c r="Q31" s="3" t="s">
        <v>70</v>
      </c>
      <c r="R31" s="4">
        <v>10245</v>
      </c>
      <c r="S31" s="6">
        <v>-0.276227481455316</v>
      </c>
      <c r="T31" s="6">
        <v>0.25520705709385</v>
      </c>
      <c r="U31" s="6" t="s">
        <v>13</v>
      </c>
      <c r="V31" s="6">
        <v>1.6581640910768299E-2</v>
      </c>
      <c r="W31" s="3">
        <v>2</v>
      </c>
      <c r="X31" s="11">
        <v>3.1989999999999998</v>
      </c>
      <c r="AA31">
        <v>14</v>
      </c>
      <c r="AB31" t="s">
        <v>85</v>
      </c>
      <c r="AC31" s="5">
        <v>12608</v>
      </c>
      <c r="AD31" s="7">
        <v>-9.9299899985712203E-2</v>
      </c>
      <c r="AE31" s="7">
        <v>-0.16325988850544201</v>
      </c>
      <c r="AF31" s="7" t="s">
        <v>12</v>
      </c>
      <c r="AG31" s="7">
        <v>1.61197937975616E-2</v>
      </c>
      <c r="AH31">
        <v>-10</v>
      </c>
      <c r="AI31" s="12">
        <v>4.8817000000000004</v>
      </c>
      <c r="AL31" s="3">
        <v>14</v>
      </c>
      <c r="AM31" s="3" t="s">
        <v>86</v>
      </c>
      <c r="AN31" s="4">
        <v>1616</v>
      </c>
      <c r="AO31" s="6">
        <v>0.36256323777402999</v>
      </c>
      <c r="AP31" s="6">
        <v>0.41258741258741199</v>
      </c>
      <c r="AQ31" s="6" t="s">
        <v>13</v>
      </c>
      <c r="AR31" s="6">
        <v>2.1388675649204499E-2</v>
      </c>
      <c r="AS31" s="3">
        <v>1</v>
      </c>
      <c r="AT31" s="11">
        <v>0.4733</v>
      </c>
    </row>
    <row r="32" spans="1:46" x14ac:dyDescent="0.3">
      <c r="P32" s="3">
        <v>15</v>
      </c>
      <c r="Q32" s="3" t="s">
        <v>87</v>
      </c>
      <c r="R32" s="4">
        <v>9980</v>
      </c>
      <c r="S32" s="6">
        <v>-0.25052568338840497</v>
      </c>
      <c r="T32" s="6">
        <v>-0.212063792831202</v>
      </c>
      <c r="U32" s="6" t="s">
        <v>12</v>
      </c>
      <c r="V32" s="6">
        <v>1.6152735606585401E-2</v>
      </c>
      <c r="W32" s="3">
        <v>-8</v>
      </c>
      <c r="X32" s="11">
        <v>3.7271000000000001</v>
      </c>
      <c r="AA32">
        <v>15</v>
      </c>
      <c r="AB32" t="s">
        <v>71</v>
      </c>
      <c r="AC32" s="5">
        <v>12223</v>
      </c>
      <c r="AD32" s="7">
        <v>-0.39376053962900498</v>
      </c>
      <c r="AE32" s="7">
        <v>-5.8247938978349699E-2</v>
      </c>
      <c r="AF32" s="7" t="s">
        <v>13</v>
      </c>
      <c r="AG32" s="7">
        <v>1.5627557073889201E-2</v>
      </c>
      <c r="AH32">
        <v>-7</v>
      </c>
      <c r="AI32" s="12">
        <v>4.3409000000000004</v>
      </c>
      <c r="AL32" s="3">
        <v>15</v>
      </c>
      <c r="AM32" s="3" t="s">
        <v>75</v>
      </c>
      <c r="AN32" s="4">
        <v>1496</v>
      </c>
      <c r="AO32" s="6">
        <v>-0.42350674373795799</v>
      </c>
      <c r="AP32" s="6">
        <v>6.9335239456754794E-2</v>
      </c>
      <c r="AQ32" s="6" t="s">
        <v>12</v>
      </c>
      <c r="AR32" s="6">
        <v>1.9800407655451699E-2</v>
      </c>
      <c r="AS32" s="3">
        <v>-2</v>
      </c>
      <c r="AT32" s="11">
        <v>0.57689999999999997</v>
      </c>
    </row>
    <row r="33" spans="16:46" x14ac:dyDescent="0.3">
      <c r="P33" s="3"/>
      <c r="Q33" s="3"/>
      <c r="R33" s="3"/>
      <c r="S33" s="3"/>
      <c r="T33" s="3"/>
      <c r="U33" s="3"/>
      <c r="V33" s="3"/>
      <c r="W33" s="3"/>
      <c r="X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6:46" x14ac:dyDescent="0.3">
      <c r="P34" s="3"/>
      <c r="Q34" s="3"/>
      <c r="R34" s="3"/>
      <c r="S34" s="3"/>
      <c r="T34" s="3"/>
      <c r="U34" s="3"/>
      <c r="V34" s="3"/>
      <c r="W34" s="3"/>
      <c r="X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6:46" x14ac:dyDescent="0.3">
      <c r="P35" s="3"/>
      <c r="Q35" s="3"/>
      <c r="R35" s="3"/>
      <c r="S35" s="3"/>
      <c r="T35" s="3"/>
      <c r="U35" s="1" t="s">
        <v>76</v>
      </c>
      <c r="V35" s="6">
        <v>0.34599999999999997</v>
      </c>
      <c r="W35" s="3"/>
      <c r="X35" s="3"/>
      <c r="AF35" s="1" t="s">
        <v>76</v>
      </c>
      <c r="AG35" s="7">
        <v>0.307</v>
      </c>
      <c r="AL35" s="3"/>
      <c r="AM35" s="3"/>
      <c r="AN35" s="3"/>
      <c r="AO35" s="3"/>
      <c r="AP35" s="3"/>
      <c r="AQ35" s="3" t="s">
        <v>76</v>
      </c>
      <c r="AR35" s="6">
        <v>0.81299999999999994</v>
      </c>
      <c r="AS35" s="3"/>
      <c r="AT35" s="3"/>
    </row>
  </sheetData>
  <mergeCells count="6">
    <mergeCell ref="AL1:AT2"/>
    <mergeCell ref="A1:E2"/>
    <mergeCell ref="H1:M2"/>
    <mergeCell ref="P1:X2"/>
    <mergeCell ref="AA1:AE2"/>
    <mergeCell ref="AF1:AI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6"/>
  <sheetViews>
    <sheetView workbookViewId="0">
      <selection activeCell="AQ36" sqref="AQ36"/>
    </sheetView>
  </sheetViews>
  <sheetFormatPr defaultColWidth="9" defaultRowHeight="14" x14ac:dyDescent="0.3"/>
  <sheetData>
    <row r="1" spans="1:46" x14ac:dyDescent="0.3">
      <c r="A1" s="16" t="s">
        <v>0</v>
      </c>
      <c r="B1" s="17"/>
      <c r="C1" s="17"/>
      <c r="D1" s="17"/>
      <c r="E1" s="17"/>
      <c r="H1" s="16" t="s">
        <v>88</v>
      </c>
      <c r="I1" s="16"/>
      <c r="J1" s="16"/>
      <c r="K1" s="16"/>
      <c r="L1" s="16"/>
      <c r="M1" s="16"/>
      <c r="P1" s="16" t="s">
        <v>2</v>
      </c>
      <c r="Q1" s="16"/>
      <c r="R1" s="16"/>
      <c r="S1" s="16"/>
      <c r="T1" s="16"/>
      <c r="U1" s="16"/>
      <c r="V1" s="16"/>
      <c r="W1" s="16"/>
      <c r="X1" s="16"/>
      <c r="AA1" s="16" t="s">
        <v>3</v>
      </c>
      <c r="AB1" s="17"/>
      <c r="AC1" s="17"/>
      <c r="AD1" s="17"/>
      <c r="AE1" s="17"/>
      <c r="AF1" s="16"/>
      <c r="AG1" s="17"/>
      <c r="AH1" s="17"/>
      <c r="AI1" s="17"/>
      <c r="AL1" s="16" t="s">
        <v>4</v>
      </c>
      <c r="AM1" s="16"/>
      <c r="AN1" s="16"/>
      <c r="AO1" s="16"/>
      <c r="AP1" s="16"/>
      <c r="AQ1" s="16"/>
      <c r="AR1" s="16"/>
      <c r="AS1" s="16"/>
      <c r="AT1" s="16"/>
    </row>
    <row r="2" spans="1:46" x14ac:dyDescent="0.3">
      <c r="A2" s="17"/>
      <c r="B2" s="17"/>
      <c r="C2" s="17"/>
      <c r="D2" s="17"/>
      <c r="E2" s="17"/>
      <c r="H2" s="16"/>
      <c r="I2" s="16"/>
      <c r="J2" s="16"/>
      <c r="K2" s="16"/>
      <c r="L2" s="16"/>
      <c r="M2" s="16"/>
      <c r="P2" s="16"/>
      <c r="Q2" s="16"/>
      <c r="R2" s="16"/>
      <c r="S2" s="16"/>
      <c r="T2" s="16"/>
      <c r="U2" s="16"/>
      <c r="V2" s="16"/>
      <c r="W2" s="16"/>
      <c r="X2" s="16"/>
      <c r="AA2" s="17"/>
      <c r="AB2" s="17"/>
      <c r="AC2" s="17"/>
      <c r="AD2" s="17"/>
      <c r="AE2" s="17"/>
      <c r="AF2" s="17"/>
      <c r="AG2" s="17"/>
      <c r="AH2" s="17"/>
      <c r="AI2" s="17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3">
      <c r="A3" s="1" t="s">
        <v>89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90</v>
      </c>
      <c r="H3" s="3"/>
      <c r="I3" s="3"/>
      <c r="J3" s="3"/>
      <c r="K3" s="3"/>
      <c r="L3" s="3"/>
      <c r="M3" s="3"/>
      <c r="P3" s="1" t="s">
        <v>89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3"/>
      <c r="W3" s="3"/>
      <c r="X3" s="3"/>
      <c r="AA3" s="1" t="s">
        <v>91</v>
      </c>
      <c r="AB3" s="2" t="s">
        <v>11</v>
      </c>
      <c r="AC3" s="2" t="s">
        <v>12</v>
      </c>
      <c r="AD3" s="2" t="s">
        <v>13</v>
      </c>
      <c r="AE3" s="2" t="s">
        <v>14</v>
      </c>
      <c r="AL3" s="1" t="s">
        <v>5</v>
      </c>
      <c r="AM3" s="2" t="s">
        <v>11</v>
      </c>
      <c r="AN3" s="2" t="s">
        <v>12</v>
      </c>
      <c r="AO3" s="2" t="s">
        <v>13</v>
      </c>
      <c r="AP3" s="3"/>
      <c r="AQ3" s="3"/>
      <c r="AR3" s="3"/>
      <c r="AS3" s="3"/>
      <c r="AT3" s="3"/>
    </row>
    <row r="4" spans="1:46" x14ac:dyDescent="0.3">
      <c r="A4" s="1">
        <v>2025</v>
      </c>
      <c r="B4" s="4">
        <v>645790</v>
      </c>
      <c r="C4" s="4">
        <v>600830</v>
      </c>
      <c r="D4" s="4">
        <v>72748</v>
      </c>
      <c r="E4" s="4">
        <v>16797</v>
      </c>
      <c r="F4" s="5">
        <v>1336165</v>
      </c>
      <c r="H4" s="3"/>
      <c r="I4" s="3"/>
      <c r="J4" s="3"/>
      <c r="K4" s="3"/>
      <c r="L4" s="3"/>
      <c r="M4" s="3"/>
      <c r="P4" s="1">
        <v>2025</v>
      </c>
      <c r="Q4" s="4">
        <v>71705</v>
      </c>
      <c r="R4" s="4">
        <v>78904</v>
      </c>
      <c r="S4" s="4">
        <v>213988</v>
      </c>
      <c r="T4" s="4">
        <v>201174</v>
      </c>
      <c r="U4" s="4">
        <v>80019</v>
      </c>
      <c r="V4" s="3"/>
      <c r="W4" s="3"/>
      <c r="X4" s="3"/>
      <c r="AA4" s="1">
        <v>2025</v>
      </c>
      <c r="AB4" s="5">
        <v>39605</v>
      </c>
      <c r="AC4" s="5">
        <v>287121</v>
      </c>
      <c r="AD4" s="5">
        <v>224914</v>
      </c>
      <c r="AE4" s="5">
        <v>49190</v>
      </c>
      <c r="AL4" s="1">
        <v>2025</v>
      </c>
      <c r="AM4" s="4">
        <v>21195</v>
      </c>
      <c r="AN4" s="4">
        <v>6369</v>
      </c>
      <c r="AO4" s="4">
        <v>45184</v>
      </c>
      <c r="AP4" s="3"/>
      <c r="AQ4" s="3"/>
      <c r="AR4" s="3"/>
      <c r="AS4" s="3"/>
      <c r="AT4" s="3"/>
    </row>
    <row r="5" spans="1:46" x14ac:dyDescent="0.3">
      <c r="A5" s="1">
        <v>2026</v>
      </c>
      <c r="B5" s="4">
        <v>472042</v>
      </c>
      <c r="C5" s="4">
        <v>621444</v>
      </c>
      <c r="D5" s="4">
        <v>51752</v>
      </c>
      <c r="E5" s="4">
        <v>4090</v>
      </c>
      <c r="F5" s="5">
        <v>1149328</v>
      </c>
      <c r="H5" s="3"/>
      <c r="I5" s="3"/>
      <c r="J5" s="3"/>
      <c r="K5" s="3"/>
      <c r="L5" s="3"/>
      <c r="M5" s="3"/>
      <c r="P5" s="1">
        <v>2026</v>
      </c>
      <c r="Q5" s="4">
        <v>10866</v>
      </c>
      <c r="R5" s="4">
        <v>39975</v>
      </c>
      <c r="S5" s="4">
        <v>175166</v>
      </c>
      <c r="T5" s="4">
        <v>186563</v>
      </c>
      <c r="U5" s="4">
        <v>59472</v>
      </c>
      <c r="V5" s="3"/>
      <c r="W5" s="3"/>
      <c r="X5" s="3"/>
      <c r="AA5" s="1">
        <v>2026</v>
      </c>
      <c r="AB5" s="5">
        <v>26495</v>
      </c>
      <c r="AC5" s="5">
        <v>268753</v>
      </c>
      <c r="AD5" s="5">
        <v>234303</v>
      </c>
      <c r="AE5" s="5">
        <v>91893</v>
      </c>
      <c r="AL5" s="1">
        <v>2026</v>
      </c>
      <c r="AM5" s="4">
        <v>6801</v>
      </c>
      <c r="AN5" s="4">
        <v>7783</v>
      </c>
      <c r="AO5" s="4">
        <v>37168</v>
      </c>
      <c r="AP5" s="3"/>
      <c r="AQ5" s="3"/>
      <c r="AR5" s="3"/>
      <c r="AS5" s="3"/>
      <c r="AT5" s="3"/>
    </row>
    <row r="6" spans="1:46" x14ac:dyDescent="0.3">
      <c r="A6" s="1" t="s">
        <v>15</v>
      </c>
      <c r="B6" s="6">
        <v>-0.26904721349045402</v>
      </c>
      <c r="C6" s="6">
        <v>3.4309205598921602E-2</v>
      </c>
      <c r="D6" s="6">
        <v>-0.28861274536756998</v>
      </c>
      <c r="E6" s="6">
        <v>-0.75650413764362701</v>
      </c>
      <c r="F6" s="7">
        <v>-0.139830784371691</v>
      </c>
      <c r="H6" s="3"/>
      <c r="I6" s="3"/>
      <c r="J6" s="3"/>
      <c r="K6" s="3"/>
      <c r="L6" s="3"/>
      <c r="M6" s="3"/>
      <c r="P6" s="1" t="s">
        <v>15</v>
      </c>
      <c r="Q6" s="6">
        <v>-0.84846245031727197</v>
      </c>
      <c r="R6" s="6">
        <v>-0.493371692182906</v>
      </c>
      <c r="S6" s="6">
        <v>-0.18142138811522099</v>
      </c>
      <c r="T6" s="6">
        <v>-7.2628669708809296E-2</v>
      </c>
      <c r="U6" s="6">
        <v>-0.25677651557754999</v>
      </c>
      <c r="V6" s="3"/>
      <c r="W6" s="3"/>
      <c r="X6" s="3"/>
      <c r="AA6" s="1" t="s">
        <v>15</v>
      </c>
      <c r="AB6" s="7">
        <v>-0.33101881075621797</v>
      </c>
      <c r="AC6" s="7">
        <v>-6.3973028792738904E-2</v>
      </c>
      <c r="AD6" s="7">
        <v>4.1744844696195001E-2</v>
      </c>
      <c r="AE6" s="7">
        <v>0.86812360235820296</v>
      </c>
      <c r="AL6" s="1" t="s">
        <v>15</v>
      </c>
      <c r="AM6" s="6">
        <v>-0.67912243453644705</v>
      </c>
      <c r="AN6" s="6">
        <v>0.22201287486261601</v>
      </c>
      <c r="AO6" s="6">
        <v>-0.17740793201133101</v>
      </c>
      <c r="AP6" s="3"/>
      <c r="AQ6" s="3"/>
      <c r="AR6" s="3"/>
      <c r="AS6" s="3"/>
      <c r="AT6" s="3"/>
    </row>
    <row r="7" spans="1:46" x14ac:dyDescent="0.3">
      <c r="A7" s="1" t="s">
        <v>16</v>
      </c>
      <c r="B7" s="6">
        <v>-0.24110345315436499</v>
      </c>
      <c r="C7" s="6">
        <v>-0.27290553940294499</v>
      </c>
      <c r="D7" s="6">
        <v>-0.367443224875938</v>
      </c>
      <c r="E7" s="6">
        <v>-0.26199927823890301</v>
      </c>
      <c r="F7" s="7">
        <v>-0.26516468017252498</v>
      </c>
      <c r="H7" s="3"/>
      <c r="I7" s="3"/>
      <c r="J7" s="3"/>
      <c r="K7" s="3"/>
      <c r="L7" s="3"/>
      <c r="M7" s="3"/>
      <c r="P7" s="1" t="s">
        <v>16</v>
      </c>
      <c r="Q7" s="6">
        <v>1.07906976744185E-2</v>
      </c>
      <c r="R7" s="6">
        <v>-0.138042564202083</v>
      </c>
      <c r="S7" s="6">
        <v>-0.237755816938856</v>
      </c>
      <c r="T7" s="6">
        <v>-0.220328145634476</v>
      </c>
      <c r="U7" s="6">
        <v>-0.37918723968391499</v>
      </c>
      <c r="V7" s="3"/>
      <c r="W7" s="3"/>
      <c r="X7" s="3"/>
      <c r="AA7" s="1" t="s">
        <v>16</v>
      </c>
      <c r="AB7" s="7">
        <v>-0.116479925303455</v>
      </c>
      <c r="AC7" s="7">
        <v>-0.23501064568650401</v>
      </c>
      <c r="AD7" s="7">
        <v>-0.25120084370655599</v>
      </c>
      <c r="AE7" s="7">
        <v>-0.427407998205451</v>
      </c>
      <c r="AL7" s="1" t="s">
        <v>16</v>
      </c>
      <c r="AM7" s="6">
        <v>-0.26737046213508597</v>
      </c>
      <c r="AN7" s="6">
        <v>-0.305523333630766</v>
      </c>
      <c r="AO7" s="6">
        <v>-0.39389788496974998</v>
      </c>
      <c r="AP7" s="3"/>
      <c r="AQ7" s="3"/>
      <c r="AR7" s="3"/>
      <c r="AS7" s="3"/>
      <c r="AT7" s="3"/>
    </row>
    <row r="8" spans="1:46" x14ac:dyDescent="0.3">
      <c r="A8" s="1">
        <v>2026</v>
      </c>
      <c r="B8" s="4">
        <v>1094053</v>
      </c>
      <c r="C8" s="4">
        <v>1476139</v>
      </c>
      <c r="D8" s="4">
        <v>133566</v>
      </c>
      <c r="E8" s="4">
        <v>9632</v>
      </c>
      <c r="F8" s="5">
        <v>2713390</v>
      </c>
      <c r="H8" s="3"/>
      <c r="I8" s="3"/>
      <c r="J8" s="3"/>
      <c r="K8" s="3"/>
      <c r="L8" s="3"/>
      <c r="M8" s="3"/>
      <c r="P8" s="1" t="s">
        <v>17</v>
      </c>
      <c r="Q8" s="6">
        <v>2.3019138127539501E-2</v>
      </c>
      <c r="R8" s="6">
        <v>8.4685261057278804E-2</v>
      </c>
      <c r="S8" s="6">
        <v>0.37108138682574898</v>
      </c>
      <c r="T8" s="6">
        <v>0.395225424856263</v>
      </c>
      <c r="U8" s="6">
        <v>0.12598878913316999</v>
      </c>
      <c r="V8" s="3"/>
      <c r="W8" s="3"/>
      <c r="X8" s="3"/>
      <c r="AA8" s="1" t="s">
        <v>17</v>
      </c>
      <c r="AB8" s="7">
        <v>4.2634573670354899E-2</v>
      </c>
      <c r="AC8" s="7">
        <v>0.43246535488314303</v>
      </c>
      <c r="AD8" s="7">
        <v>0.37702994960125102</v>
      </c>
      <c r="AE8" s="7">
        <v>0.147870121845251</v>
      </c>
      <c r="AL8" s="1" t="s">
        <v>17</v>
      </c>
      <c r="AM8" s="6">
        <v>0.13141521100633799</v>
      </c>
      <c r="AN8" s="6">
        <v>0.150390323079301</v>
      </c>
      <c r="AO8" s="6">
        <v>0.71819446591436098</v>
      </c>
      <c r="AP8" s="3"/>
      <c r="AQ8" s="3"/>
      <c r="AR8" s="3"/>
      <c r="AS8" s="3"/>
      <c r="AT8" s="3"/>
    </row>
    <row r="9" spans="1:46" x14ac:dyDescent="0.3">
      <c r="A9" s="1" t="s">
        <v>15</v>
      </c>
      <c r="B9" s="13">
        <v>-0.26065260803308699</v>
      </c>
      <c r="C9" s="13">
        <v>-2.6590181620113201E-2</v>
      </c>
      <c r="D9" s="13">
        <v>-0.15176802316720001</v>
      </c>
      <c r="E9" s="13">
        <v>-0.58423619804031601</v>
      </c>
      <c r="F9" s="7">
        <v>-0.14588611101318</v>
      </c>
      <c r="H9" s="3"/>
      <c r="I9" s="3"/>
      <c r="J9" s="3"/>
      <c r="K9" s="3"/>
      <c r="L9" s="3"/>
      <c r="M9" s="3"/>
      <c r="P9" s="1" t="s">
        <v>92</v>
      </c>
      <c r="Q9" s="6">
        <v>-8.8015408706570694E-2</v>
      </c>
      <c r="R9" s="6">
        <v>-3.7496872453614799E-2</v>
      </c>
      <c r="S9" s="6">
        <v>3.9722895675374598E-2</v>
      </c>
      <c r="T9" s="6">
        <v>8.3709297322544396E-2</v>
      </c>
      <c r="U9" s="6">
        <v>2.0800881622665001E-3</v>
      </c>
      <c r="V9" s="3"/>
      <c r="W9" s="3"/>
      <c r="X9" s="3"/>
      <c r="AA9" s="1" t="s">
        <v>92</v>
      </c>
      <c r="AB9" s="7">
        <v>-2.3282574274987401E-2</v>
      </c>
      <c r="AC9" s="7">
        <v>-4.5408586165073497E-2</v>
      </c>
      <c r="AD9" s="7">
        <v>2.6911183178600102E-3</v>
      </c>
      <c r="AE9" s="7">
        <v>6.6000042122200994E-2</v>
      </c>
      <c r="AL9" s="1" t="s">
        <v>92</v>
      </c>
      <c r="AM9" s="6">
        <v>-0.15993300475217101</v>
      </c>
      <c r="AN9" s="6">
        <v>6.2841524486900099E-2</v>
      </c>
      <c r="AO9" s="6">
        <v>9.7091480265270702E-2</v>
      </c>
      <c r="AP9" s="3"/>
      <c r="AQ9" s="3"/>
      <c r="AR9" s="3"/>
      <c r="AS9" s="3"/>
      <c r="AT9" s="3"/>
    </row>
    <row r="10" spans="1:46" x14ac:dyDescent="0.3">
      <c r="A10" s="3"/>
      <c r="B10" s="4"/>
      <c r="C10" s="4"/>
      <c r="D10" s="4"/>
      <c r="E10" s="4"/>
      <c r="H10" s="3"/>
      <c r="I10" s="3"/>
      <c r="J10" s="3"/>
      <c r="K10" s="3"/>
      <c r="L10" s="3"/>
      <c r="M10" s="3"/>
      <c r="P10" s="3"/>
      <c r="Q10" s="3"/>
      <c r="R10" s="3"/>
      <c r="S10" s="3"/>
      <c r="T10" s="3"/>
      <c r="U10" s="3"/>
      <c r="V10" s="3"/>
      <c r="W10" s="3"/>
      <c r="X10" s="3"/>
      <c r="AA10" s="3"/>
      <c r="AB10" s="3"/>
      <c r="AC10" s="3"/>
      <c r="AD10" s="3"/>
      <c r="AE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 s="3"/>
      <c r="B11" s="3"/>
      <c r="C11" s="3"/>
      <c r="D11" s="3"/>
      <c r="E11" s="3"/>
      <c r="H11" s="3"/>
      <c r="I11" s="3"/>
      <c r="J11" s="3"/>
      <c r="K11" s="3"/>
      <c r="L11" s="3"/>
      <c r="M11" s="3"/>
      <c r="P11" s="1" t="s">
        <v>19</v>
      </c>
      <c r="Q11" s="2" t="s">
        <v>10</v>
      </c>
      <c r="R11" s="2" t="s">
        <v>11</v>
      </c>
      <c r="S11" s="2" t="s">
        <v>12</v>
      </c>
      <c r="T11" s="2" t="s">
        <v>13</v>
      </c>
      <c r="U11" s="2" t="s">
        <v>14</v>
      </c>
      <c r="V11" s="3"/>
      <c r="W11" s="3"/>
      <c r="X11" s="3"/>
      <c r="AA11" s="1" t="s">
        <v>93</v>
      </c>
      <c r="AB11" s="2" t="s">
        <v>11</v>
      </c>
      <c r="AC11" s="2" t="s">
        <v>12</v>
      </c>
      <c r="AD11" s="2" t="s">
        <v>13</v>
      </c>
      <c r="AE11" s="2" t="s">
        <v>14</v>
      </c>
      <c r="AL11" s="1" t="s">
        <v>18</v>
      </c>
      <c r="AM11" s="2" t="s">
        <v>11</v>
      </c>
      <c r="AN11" s="2" t="s">
        <v>12</v>
      </c>
      <c r="AO11" s="2" t="s">
        <v>13</v>
      </c>
      <c r="AP11" s="3"/>
      <c r="AQ11" s="3"/>
      <c r="AR11" s="3"/>
      <c r="AS11" s="3"/>
      <c r="AT11" s="3"/>
    </row>
    <row r="12" spans="1:46" x14ac:dyDescent="0.3">
      <c r="A12" s="3"/>
      <c r="B12" s="3"/>
      <c r="C12" s="3"/>
      <c r="D12" s="3"/>
      <c r="E12" s="3"/>
      <c r="H12" s="3"/>
      <c r="I12" s="3"/>
      <c r="J12" s="3"/>
      <c r="K12" s="3"/>
      <c r="L12" s="3"/>
      <c r="M12" s="3"/>
      <c r="P12" s="1">
        <v>2025</v>
      </c>
      <c r="Q12" s="4">
        <v>113741</v>
      </c>
      <c r="R12" s="4">
        <v>139739</v>
      </c>
      <c r="S12" s="4">
        <v>528365</v>
      </c>
      <c r="T12" s="4">
        <v>500318</v>
      </c>
      <c r="U12" s="4">
        <v>197592</v>
      </c>
      <c r="V12" s="3"/>
      <c r="W12" s="3"/>
      <c r="X12" s="3"/>
      <c r="AA12" s="1">
        <v>2025</v>
      </c>
      <c r="AB12" s="5">
        <v>86521</v>
      </c>
      <c r="AC12" s="5">
        <v>712067</v>
      </c>
      <c r="AD12" s="5">
        <v>581281</v>
      </c>
      <c r="AE12" s="5">
        <v>136593</v>
      </c>
      <c r="AL12" s="1">
        <v>2025</v>
      </c>
      <c r="AM12" s="4">
        <v>34197</v>
      </c>
      <c r="AN12" s="4">
        <v>14178</v>
      </c>
      <c r="AO12" s="4">
        <v>109087</v>
      </c>
      <c r="AP12" s="3"/>
      <c r="AQ12" s="3"/>
      <c r="AR12" s="3"/>
      <c r="AS12" s="3"/>
      <c r="AT12" s="3"/>
    </row>
    <row r="13" spans="1:46" x14ac:dyDescent="0.3">
      <c r="A13" s="9"/>
      <c r="B13" s="3"/>
      <c r="C13" s="3"/>
      <c r="D13" s="3"/>
      <c r="E13" s="3"/>
      <c r="H13" s="3"/>
      <c r="I13" s="3"/>
      <c r="J13" s="3"/>
      <c r="K13" s="3"/>
      <c r="L13" s="3"/>
      <c r="M13" s="3"/>
      <c r="P13" s="1">
        <v>2026</v>
      </c>
      <c r="Q13" s="4">
        <v>21616</v>
      </c>
      <c r="R13" s="4">
        <v>86352</v>
      </c>
      <c r="S13" s="4">
        <v>404969</v>
      </c>
      <c r="T13" s="4">
        <v>425847</v>
      </c>
      <c r="U13" s="4">
        <v>155269</v>
      </c>
      <c r="V13" s="3"/>
      <c r="W13" s="3"/>
      <c r="X13" s="3"/>
      <c r="AA13" s="1">
        <v>2026</v>
      </c>
      <c r="AB13" s="5">
        <v>56483</v>
      </c>
      <c r="AC13" s="5">
        <v>620069</v>
      </c>
      <c r="AD13" s="5">
        <v>547208</v>
      </c>
      <c r="AE13" s="5">
        <v>252379</v>
      </c>
      <c r="AL13" s="1">
        <v>2026</v>
      </c>
      <c r="AM13" s="4">
        <v>16084</v>
      </c>
      <c r="AN13" s="4">
        <v>18990</v>
      </c>
      <c r="AO13" s="4">
        <v>98491</v>
      </c>
      <c r="AP13" s="3"/>
      <c r="AQ13" s="3"/>
      <c r="AR13" s="3"/>
      <c r="AS13" s="3"/>
      <c r="AT13" s="3"/>
    </row>
    <row r="14" spans="1:46" x14ac:dyDescent="0.3">
      <c r="A14" s="1" t="s">
        <v>19</v>
      </c>
      <c r="B14" s="2" t="s">
        <v>22</v>
      </c>
      <c r="C14" s="2" t="s">
        <v>23</v>
      </c>
      <c r="D14" s="2" t="s">
        <v>20</v>
      </c>
      <c r="E14" s="2" t="s">
        <v>21</v>
      </c>
      <c r="H14" s="3"/>
      <c r="I14" s="3"/>
      <c r="J14" s="3"/>
      <c r="K14" s="3"/>
      <c r="L14" s="3"/>
      <c r="M14" s="3"/>
      <c r="P14" s="1" t="s">
        <v>15</v>
      </c>
      <c r="Q14" s="6">
        <v>-0.80995419417800096</v>
      </c>
      <c r="R14" s="6">
        <v>-0.38204796084128301</v>
      </c>
      <c r="S14" s="6">
        <v>-0.233543099940382</v>
      </c>
      <c r="T14" s="6">
        <v>-0.148847333096151</v>
      </c>
      <c r="U14" s="6">
        <v>-0.21419389448965501</v>
      </c>
      <c r="V14" s="3"/>
      <c r="W14" s="3"/>
      <c r="X14" s="3"/>
      <c r="AA14" s="1" t="s">
        <v>15</v>
      </c>
      <c r="AB14" s="7">
        <v>-0.34717583014528303</v>
      </c>
      <c r="AC14" s="7">
        <v>-0.12919851643173999</v>
      </c>
      <c r="AD14" s="7">
        <v>-5.8617088809026899E-2</v>
      </c>
      <c r="AE14" s="7">
        <v>0.84767154978659198</v>
      </c>
      <c r="AL14" s="1" t="s">
        <v>15</v>
      </c>
      <c r="AM14" s="6">
        <v>-0.52966634500102305</v>
      </c>
      <c r="AN14" s="6">
        <v>0.33939906898011002</v>
      </c>
      <c r="AO14" s="6">
        <v>-9.7133480616388698E-2</v>
      </c>
      <c r="AP14" s="3"/>
      <c r="AQ14" s="3"/>
      <c r="AR14" s="3"/>
      <c r="AS14" s="3"/>
      <c r="AT14" s="3"/>
    </row>
    <row r="15" spans="1:46" x14ac:dyDescent="0.3">
      <c r="A15" s="1" t="s">
        <v>6</v>
      </c>
      <c r="B15" s="6">
        <v>0.46579345313342002</v>
      </c>
      <c r="C15" s="6">
        <v>0.40320521561589001</v>
      </c>
      <c r="D15" s="6">
        <v>0.48331605752283602</v>
      </c>
      <c r="E15" s="6">
        <v>0.410711302604652</v>
      </c>
      <c r="H15" s="3"/>
      <c r="I15" s="3"/>
      <c r="J15" s="3"/>
      <c r="K15" s="3"/>
      <c r="L15" s="3"/>
      <c r="M15" s="3"/>
      <c r="P15" s="1" t="s">
        <v>17</v>
      </c>
      <c r="Q15" s="6">
        <v>1.9757726545240498E-2</v>
      </c>
      <c r="R15" s="6">
        <v>7.8928534540831194E-2</v>
      </c>
      <c r="S15" s="6">
        <v>0.37015482796537302</v>
      </c>
      <c r="T15" s="6">
        <v>0.38923799852475199</v>
      </c>
      <c r="U15" s="6">
        <v>0.141920912423804</v>
      </c>
      <c r="V15" s="3"/>
      <c r="W15" s="3"/>
      <c r="X15" s="3"/>
      <c r="AA15" s="1" t="s">
        <v>17</v>
      </c>
      <c r="AB15" s="7">
        <v>3.8264011722473297E-2</v>
      </c>
      <c r="AC15" s="7">
        <v>0.42006138988266001</v>
      </c>
      <c r="AD15" s="7">
        <v>0.37070221706763401</v>
      </c>
      <c r="AE15" s="7">
        <v>0.170972381327233</v>
      </c>
      <c r="AL15" s="1" t="s">
        <v>17</v>
      </c>
      <c r="AM15" s="6">
        <v>0.120419867331507</v>
      </c>
      <c r="AN15" s="6">
        <v>0.14217690130721899</v>
      </c>
      <c r="AO15" s="6">
        <v>0.737395744425977</v>
      </c>
      <c r="AP15" s="3"/>
      <c r="AQ15" s="3"/>
      <c r="AR15" s="3"/>
      <c r="AS15" s="3"/>
      <c r="AT15" s="3"/>
    </row>
    <row r="16" spans="1:46" x14ac:dyDescent="0.3">
      <c r="A16" s="1" t="s">
        <v>7</v>
      </c>
      <c r="B16" s="10">
        <v>0.477347987690944</v>
      </c>
      <c r="C16" s="10">
        <v>0.54402021088011698</v>
      </c>
      <c r="D16" s="10">
        <v>0.44966751860735799</v>
      </c>
      <c r="E16" s="10">
        <v>0.54070204502109098</v>
      </c>
      <c r="H16" s="3"/>
      <c r="I16" s="3"/>
      <c r="J16" s="3"/>
      <c r="K16" s="3"/>
      <c r="L16" s="3"/>
      <c r="M16" s="3"/>
      <c r="P16" s="1" t="s">
        <v>92</v>
      </c>
      <c r="Q16" s="6">
        <v>-5.7107024714258499E-2</v>
      </c>
      <c r="R16" s="6">
        <v>-1.55053413372702E-2</v>
      </c>
      <c r="S16" s="6">
        <v>1.30923412699401E-2</v>
      </c>
      <c r="T16" s="6">
        <v>5.1129325129493502E-2</v>
      </c>
      <c r="U16" s="6">
        <v>8.3906996520951606E-3</v>
      </c>
      <c r="V16" s="3"/>
      <c r="W16" s="3"/>
      <c r="X16" s="3"/>
      <c r="AA16" s="1" t="s">
        <v>92</v>
      </c>
      <c r="AB16" s="7">
        <v>-1.8790500688652099E-2</v>
      </c>
      <c r="AC16" s="7">
        <v>-4.9496699934295403E-2</v>
      </c>
      <c r="AD16" s="7">
        <v>-1.26117070531156E-2</v>
      </c>
      <c r="AE16" s="7">
        <v>8.08989076760631E-2</v>
      </c>
      <c r="AL16" s="1" t="s">
        <v>92</v>
      </c>
      <c r="AM16" s="6">
        <v>-9.6753581837827396E-2</v>
      </c>
      <c r="AN16" s="6">
        <v>5.21372732017472E-2</v>
      </c>
      <c r="AO16" s="6">
        <v>4.4621523016638701E-2</v>
      </c>
      <c r="AP16" s="3"/>
      <c r="AQ16" s="3"/>
      <c r="AR16" s="3"/>
      <c r="AS16" s="3"/>
      <c r="AT16" s="3"/>
    </row>
    <row r="17" spans="1:46" x14ac:dyDescent="0.3">
      <c r="A17" s="1" t="s">
        <v>8</v>
      </c>
      <c r="B17" s="6">
        <v>4.9566110811722797E-2</v>
      </c>
      <c r="C17" s="6">
        <v>4.9224770490051202E-2</v>
      </c>
      <c r="D17" s="6">
        <v>5.4445371641975403E-2</v>
      </c>
      <c r="E17" s="6">
        <v>4.5028051174251398E-2</v>
      </c>
      <c r="H17" s="3"/>
      <c r="I17" s="3"/>
      <c r="J17" s="3"/>
      <c r="K17" s="3"/>
      <c r="L17" s="3"/>
      <c r="M17" s="3"/>
      <c r="P17" s="3"/>
      <c r="Q17" s="3"/>
      <c r="R17" s="3"/>
      <c r="S17" s="3"/>
      <c r="T17" s="3"/>
      <c r="U17" s="3"/>
      <c r="V17" s="3"/>
      <c r="W17" s="3"/>
      <c r="X17" s="3"/>
      <c r="AB17" s="3"/>
      <c r="AC17" s="3"/>
      <c r="AD17" s="3"/>
      <c r="AE17" s="3"/>
      <c r="AF17" s="3"/>
      <c r="AG17" s="3"/>
      <c r="AH17" s="3"/>
      <c r="AI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x14ac:dyDescent="0.3">
      <c r="A18" s="1" t="s">
        <v>9</v>
      </c>
      <c r="B18" s="6">
        <v>7.2924483639129102E-3</v>
      </c>
      <c r="C18" s="6">
        <v>3.5498030139419698E-3</v>
      </c>
      <c r="D18" s="6">
        <v>1.25710522278311E-2</v>
      </c>
      <c r="E18" s="6">
        <v>3.55860120000557E-3</v>
      </c>
      <c r="H18" s="3"/>
      <c r="I18" s="3"/>
      <c r="J18" s="3"/>
      <c r="K18" s="3"/>
      <c r="L18" s="3"/>
      <c r="M18" s="3"/>
      <c r="P18" s="1" t="s">
        <v>19</v>
      </c>
      <c r="Q18" s="1" t="s">
        <v>25</v>
      </c>
      <c r="R18" s="1" t="s">
        <v>26</v>
      </c>
      <c r="S18" s="1" t="s">
        <v>15</v>
      </c>
      <c r="T18" s="3" t="s">
        <v>16</v>
      </c>
      <c r="U18" s="3" t="s">
        <v>27</v>
      </c>
      <c r="V18" s="3" t="s">
        <v>17</v>
      </c>
      <c r="W18" s="1" t="s">
        <v>28</v>
      </c>
      <c r="X18" s="3" t="s">
        <v>29</v>
      </c>
      <c r="AA18" s="1" t="s">
        <v>19</v>
      </c>
      <c r="AB18" s="1" t="s">
        <v>25</v>
      </c>
      <c r="AC18" s="1" t="s">
        <v>26</v>
      </c>
      <c r="AD18" s="1" t="s">
        <v>15</v>
      </c>
      <c r="AE18" t="s">
        <v>16</v>
      </c>
      <c r="AF18" t="s">
        <v>27</v>
      </c>
      <c r="AG18" t="s">
        <v>17</v>
      </c>
      <c r="AH18" s="1" t="s">
        <v>28</v>
      </c>
      <c r="AI18" t="s">
        <v>29</v>
      </c>
      <c r="AL18" s="1" t="s">
        <v>19</v>
      </c>
      <c r="AM18" s="1" t="s">
        <v>25</v>
      </c>
      <c r="AN18" s="1" t="s">
        <v>26</v>
      </c>
      <c r="AO18" s="1" t="s">
        <v>15</v>
      </c>
      <c r="AP18" s="3" t="s">
        <v>16</v>
      </c>
      <c r="AQ18" s="3" t="s">
        <v>27</v>
      </c>
      <c r="AR18" s="3" t="s">
        <v>17</v>
      </c>
      <c r="AS18" s="1" t="s">
        <v>28</v>
      </c>
      <c r="AT18" s="3" t="s">
        <v>29</v>
      </c>
    </row>
    <row r="19" spans="1:46" x14ac:dyDescent="0.3">
      <c r="H19" s="3"/>
      <c r="I19" s="3"/>
      <c r="J19" s="3"/>
      <c r="K19" s="3"/>
      <c r="L19" s="3"/>
      <c r="M19" s="3"/>
      <c r="P19" s="3">
        <v>1</v>
      </c>
      <c r="Q19" s="3" t="s">
        <v>46</v>
      </c>
      <c r="R19" s="4">
        <v>22339</v>
      </c>
      <c r="S19" s="6">
        <v>0.49835669729693499</v>
      </c>
      <c r="T19" s="6">
        <v>-0.19172877921702</v>
      </c>
      <c r="U19" s="6" t="s">
        <v>12</v>
      </c>
      <c r="V19" s="6">
        <v>4.7324178780701699E-2</v>
      </c>
      <c r="W19" s="3">
        <v>0</v>
      </c>
      <c r="X19" s="11">
        <v>4.9977</v>
      </c>
      <c r="AA19">
        <v>1</v>
      </c>
      <c r="AB19" t="s">
        <v>82</v>
      </c>
      <c r="AC19" s="5">
        <v>20129</v>
      </c>
      <c r="AD19" s="7" t="e">
        <v>#DIV/0!</v>
      </c>
      <c r="AE19" s="7">
        <v>-0.46840089792684497</v>
      </c>
      <c r="AF19" s="7" t="s">
        <v>34</v>
      </c>
      <c r="AG19" s="7">
        <v>3.23906900702235E-2</v>
      </c>
      <c r="AH19">
        <v>0</v>
      </c>
      <c r="AI19" s="12">
        <v>5.7994000000000003</v>
      </c>
      <c r="AL19" s="3">
        <v>1</v>
      </c>
      <c r="AM19" s="3" t="s">
        <v>42</v>
      </c>
      <c r="AN19" s="4">
        <v>5461</v>
      </c>
      <c r="AO19" s="6" t="e">
        <v>#DIV/0!</v>
      </c>
      <c r="AP19" s="6">
        <v>-0.20705677363148001</v>
      </c>
      <c r="AQ19" s="6" t="s">
        <v>12</v>
      </c>
      <c r="AR19" s="6">
        <v>0.105522491884372</v>
      </c>
      <c r="AS19" s="3">
        <v>2</v>
      </c>
      <c r="AT19" s="11">
        <v>1.2347999999999999</v>
      </c>
    </row>
    <row r="20" spans="1:46" x14ac:dyDescent="0.3">
      <c r="H20" s="3"/>
      <c r="I20" s="3"/>
      <c r="J20" s="3"/>
      <c r="K20" s="3"/>
      <c r="L20" s="3"/>
      <c r="M20" s="3"/>
      <c r="P20" s="3">
        <v>2</v>
      </c>
      <c r="Q20" s="3" t="s">
        <v>81</v>
      </c>
      <c r="R20" s="4">
        <v>17930</v>
      </c>
      <c r="S20" s="6">
        <v>0.32932977461447199</v>
      </c>
      <c r="T20" s="6">
        <v>-0.16429736658121699</v>
      </c>
      <c r="U20" s="6" t="s">
        <v>13</v>
      </c>
      <c r="V20" s="6">
        <v>3.79839082115574E-2</v>
      </c>
      <c r="W20" s="3">
        <v>1</v>
      </c>
      <c r="X20" s="11">
        <v>3.9384999999999999</v>
      </c>
      <c r="AA20">
        <v>2</v>
      </c>
      <c r="AB20" t="s">
        <v>31</v>
      </c>
      <c r="AC20" s="5">
        <v>17879</v>
      </c>
      <c r="AD20" s="7">
        <v>0.81273446213119704</v>
      </c>
      <c r="AE20" s="7">
        <v>4.7209043519006698E-2</v>
      </c>
      <c r="AF20" s="7" t="s">
        <v>13</v>
      </c>
      <c r="AG20" s="7">
        <v>2.8770090305803901E-2</v>
      </c>
      <c r="AH20">
        <v>9</v>
      </c>
      <c r="AI20" s="12">
        <v>3.4952000000000001</v>
      </c>
      <c r="AL20" s="3">
        <v>2</v>
      </c>
      <c r="AM20" s="3" t="s">
        <v>32</v>
      </c>
      <c r="AN20" s="4">
        <v>5079</v>
      </c>
      <c r="AO20" s="6">
        <v>5.5705674495946801E-2</v>
      </c>
      <c r="AP20" s="6">
        <v>-0.42132847214310098</v>
      </c>
      <c r="AQ20" s="6" t="s">
        <v>13</v>
      </c>
      <c r="AR20" s="6">
        <v>9.8141134642139402E-2</v>
      </c>
      <c r="AS20" s="3">
        <v>-1</v>
      </c>
      <c r="AT20" s="11">
        <v>1.3855999999999999</v>
      </c>
    </row>
    <row r="21" spans="1:46" x14ac:dyDescent="0.3">
      <c r="P21" s="3">
        <v>3</v>
      </c>
      <c r="Q21" s="3" t="s">
        <v>78</v>
      </c>
      <c r="R21" s="4">
        <v>17639</v>
      </c>
      <c r="S21" s="6">
        <v>0.29270795163063401</v>
      </c>
      <c r="T21" s="6">
        <v>-0.20033547919122299</v>
      </c>
      <c r="U21" s="6" t="s">
        <v>12</v>
      </c>
      <c r="V21" s="6">
        <v>3.7367437643260601E-2</v>
      </c>
      <c r="W21" s="3">
        <v>-1</v>
      </c>
      <c r="X21" s="11">
        <v>3.9697</v>
      </c>
      <c r="AA21">
        <v>3</v>
      </c>
      <c r="AB21" t="s">
        <v>38</v>
      </c>
      <c r="AC21" s="5">
        <v>16027</v>
      </c>
      <c r="AD21" s="7" t="e">
        <v>#DIV/0!</v>
      </c>
      <c r="AE21" s="7">
        <v>-4.9970361588618901E-2</v>
      </c>
      <c r="AF21" s="7" t="s">
        <v>13</v>
      </c>
      <c r="AG21" s="7">
        <v>2.5789934410823799E-2</v>
      </c>
      <c r="AH21">
        <v>9</v>
      </c>
      <c r="AI21" s="12">
        <v>3.2896999999999998</v>
      </c>
      <c r="AL21" s="3">
        <v>3</v>
      </c>
      <c r="AM21" s="3" t="s">
        <v>36</v>
      </c>
      <c r="AN21" s="4">
        <v>4502</v>
      </c>
      <c r="AO21" s="6">
        <v>-0.21745176429688901</v>
      </c>
      <c r="AP21" s="6">
        <v>-0.37289316060732702</v>
      </c>
      <c r="AQ21" s="6" t="s">
        <v>13</v>
      </c>
      <c r="AR21" s="6">
        <v>8.6991807079919603E-2</v>
      </c>
      <c r="AS21" s="3">
        <v>-1</v>
      </c>
      <c r="AT21" s="11">
        <v>1.1680999999999999</v>
      </c>
    </row>
    <row r="22" spans="1:46" x14ac:dyDescent="0.3">
      <c r="P22" s="3">
        <v>4</v>
      </c>
      <c r="Q22" s="3" t="s">
        <v>83</v>
      </c>
      <c r="R22" s="4">
        <v>14027</v>
      </c>
      <c r="S22" s="6">
        <v>0.40382305844675698</v>
      </c>
      <c r="T22" s="6">
        <v>-0.13525676592072</v>
      </c>
      <c r="U22" s="6" t="s">
        <v>13</v>
      </c>
      <c r="V22" s="6">
        <v>2.9715576156358999E-2</v>
      </c>
      <c r="W22" s="3">
        <v>2</v>
      </c>
      <c r="X22" s="11">
        <v>3.0247999999999999</v>
      </c>
      <c r="AA22">
        <v>4</v>
      </c>
      <c r="AB22" t="s">
        <v>85</v>
      </c>
      <c r="AC22" s="5">
        <v>15068</v>
      </c>
      <c r="AD22" s="7">
        <v>0.697802816901409</v>
      </c>
      <c r="AE22" s="7">
        <v>-0.28726171893477098</v>
      </c>
      <c r="AF22" s="7" t="s">
        <v>12</v>
      </c>
      <c r="AG22" s="7">
        <v>2.4246754333455599E-2</v>
      </c>
      <c r="AH22">
        <v>-1</v>
      </c>
      <c r="AI22" s="12">
        <v>3.6208999999999998</v>
      </c>
      <c r="AL22" s="3">
        <v>4</v>
      </c>
      <c r="AM22" s="3" t="s">
        <v>39</v>
      </c>
      <c r="AN22" s="4">
        <v>4139</v>
      </c>
      <c r="AO22" s="6">
        <v>7.2614770459081797</v>
      </c>
      <c r="AP22" s="6">
        <v>-0.13914309484192999</v>
      </c>
      <c r="AQ22" s="6" t="s">
        <v>13</v>
      </c>
      <c r="AR22" s="6">
        <v>7.9977585407327301E-2</v>
      </c>
      <c r="AS22" s="3">
        <v>1</v>
      </c>
      <c r="AT22" s="11">
        <v>0.89470000000000005</v>
      </c>
    </row>
    <row r="23" spans="1:46" x14ac:dyDescent="0.3">
      <c r="P23" s="3">
        <v>5</v>
      </c>
      <c r="Q23" s="3" t="s">
        <v>64</v>
      </c>
      <c r="R23" s="4">
        <v>13760</v>
      </c>
      <c r="S23" s="6">
        <v>0.25685056631348202</v>
      </c>
      <c r="T23" s="6">
        <v>-0.24956369982547999</v>
      </c>
      <c r="U23" s="6" t="s">
        <v>13</v>
      </c>
      <c r="V23" s="6">
        <v>2.9149948521529901E-2</v>
      </c>
      <c r="W23" s="3">
        <v>-1</v>
      </c>
      <c r="X23" s="11">
        <v>3.2096</v>
      </c>
      <c r="AA23">
        <v>5</v>
      </c>
      <c r="AB23" t="s">
        <v>94</v>
      </c>
      <c r="AC23" s="5">
        <v>14307</v>
      </c>
      <c r="AD23" s="7">
        <v>1.84038117927338</v>
      </c>
      <c r="AE23" s="7">
        <v>-0.17983260720018299</v>
      </c>
      <c r="AF23" s="7" t="s">
        <v>12</v>
      </c>
      <c r="AG23" s="7">
        <v>2.3022187035356401E-2</v>
      </c>
      <c r="AH23">
        <v>5</v>
      </c>
      <c r="AI23" s="12">
        <v>3.1751</v>
      </c>
      <c r="AL23" s="3">
        <v>5</v>
      </c>
      <c r="AM23" s="3" t="s">
        <v>45</v>
      </c>
      <c r="AN23" s="4">
        <v>3422</v>
      </c>
      <c r="AO23" s="6">
        <v>-3.9842873176206502E-2</v>
      </c>
      <c r="AP23" s="6">
        <v>-0.485645573425522</v>
      </c>
      <c r="AQ23" s="6" t="s">
        <v>13</v>
      </c>
      <c r="AR23" s="6">
        <v>6.6123048384603506E-2</v>
      </c>
      <c r="AS23" s="3">
        <v>-1</v>
      </c>
      <c r="AT23" s="11">
        <v>1.0075000000000001</v>
      </c>
    </row>
    <row r="24" spans="1:46" x14ac:dyDescent="0.3">
      <c r="P24" s="3">
        <v>6</v>
      </c>
      <c r="Q24" s="3" t="s">
        <v>37</v>
      </c>
      <c r="R24" s="4">
        <v>12778</v>
      </c>
      <c r="S24" s="6">
        <v>-0.34117040474349097</v>
      </c>
      <c r="T24" s="6">
        <v>5.3414392059553304</v>
      </c>
      <c r="U24" s="6" t="s">
        <v>13</v>
      </c>
      <c r="V24" s="6">
        <v>2.7069625160472999E-2</v>
      </c>
      <c r="W24" s="3">
        <v>64</v>
      </c>
      <c r="X24" s="11">
        <v>1.4793000000000001</v>
      </c>
      <c r="AA24">
        <v>6</v>
      </c>
      <c r="AB24" t="s">
        <v>95</v>
      </c>
      <c r="AC24" s="5">
        <v>13992</v>
      </c>
      <c r="AD24" s="7">
        <v>0.58226846092954898</v>
      </c>
      <c r="AE24" s="7">
        <v>-0.207431743514218</v>
      </c>
      <c r="AF24" s="7" t="s">
        <v>13</v>
      </c>
      <c r="AG24" s="7">
        <v>2.25153030683376E-2</v>
      </c>
      <c r="AH24">
        <v>2</v>
      </c>
      <c r="AI24" s="12">
        <v>3.1646000000000001</v>
      </c>
      <c r="AL24" s="3">
        <v>6</v>
      </c>
      <c r="AM24" s="3" t="s">
        <v>60</v>
      </c>
      <c r="AN24" s="4">
        <v>2573</v>
      </c>
      <c r="AO24" s="6">
        <v>-0.67663692346361703</v>
      </c>
      <c r="AP24" s="6">
        <v>-0.26169296987087498</v>
      </c>
      <c r="AQ24" s="6" t="s">
        <v>11</v>
      </c>
      <c r="AR24" s="6">
        <v>4.97178852991189E-2</v>
      </c>
      <c r="AS24" s="3">
        <v>3</v>
      </c>
      <c r="AT24" s="11">
        <v>0.60580000000000001</v>
      </c>
    </row>
    <row r="25" spans="1:46" x14ac:dyDescent="0.3">
      <c r="P25" s="3">
        <v>7</v>
      </c>
      <c r="Q25" s="3" t="s">
        <v>87</v>
      </c>
      <c r="R25" s="4">
        <v>12666</v>
      </c>
      <c r="S25" s="6">
        <v>0.30322049593579598</v>
      </c>
      <c r="T25" s="6">
        <v>-0.13394871794871799</v>
      </c>
      <c r="U25" s="6" t="s">
        <v>12</v>
      </c>
      <c r="V25" s="6">
        <v>2.6832358137623299E-2</v>
      </c>
      <c r="W25" s="3">
        <v>2</v>
      </c>
      <c r="X25" s="11">
        <v>2.7290999999999999</v>
      </c>
      <c r="AA25">
        <v>7</v>
      </c>
      <c r="AB25" t="s">
        <v>62</v>
      </c>
      <c r="AC25" s="5">
        <v>13680</v>
      </c>
      <c r="AD25" s="7">
        <v>0.57313707451701901</v>
      </c>
      <c r="AE25" s="7">
        <v>-0.156180606957809</v>
      </c>
      <c r="AF25" s="7" t="s">
        <v>12</v>
      </c>
      <c r="AG25" s="7">
        <v>2.20132465676714E-2</v>
      </c>
      <c r="AH25">
        <v>7</v>
      </c>
      <c r="AI25" s="12">
        <v>2.9891999999999999</v>
      </c>
      <c r="AL25" s="3">
        <v>7</v>
      </c>
      <c r="AM25" s="3" t="s">
        <v>80</v>
      </c>
      <c r="AN25" s="4">
        <v>2466</v>
      </c>
      <c r="AO25" s="6" t="e">
        <v>#DIV/0!</v>
      </c>
      <c r="AP25" s="6">
        <v>-0.16065350578624901</v>
      </c>
      <c r="AQ25" s="6" t="s">
        <v>13</v>
      </c>
      <c r="AR25" s="6">
        <v>4.7650332354305103E-2</v>
      </c>
      <c r="AS25" s="3">
        <v>4</v>
      </c>
      <c r="AT25" s="11">
        <v>0.54039999999999999</v>
      </c>
    </row>
    <row r="26" spans="1:46" x14ac:dyDescent="0.3">
      <c r="P26" s="3">
        <v>8</v>
      </c>
      <c r="Q26" s="3" t="s">
        <v>96</v>
      </c>
      <c r="R26" s="4">
        <v>12619</v>
      </c>
      <c r="S26" s="6">
        <v>0.80813870181974501</v>
      </c>
      <c r="T26" s="6">
        <v>-0.121055930904785</v>
      </c>
      <c r="U26" s="6" t="s">
        <v>12</v>
      </c>
      <c r="V26" s="6">
        <v>2.6732790726248901E-2</v>
      </c>
      <c r="W26" s="3">
        <v>2</v>
      </c>
      <c r="X26" s="11">
        <v>2.6976</v>
      </c>
      <c r="AA26">
        <v>8</v>
      </c>
      <c r="AB26" t="s">
        <v>71</v>
      </c>
      <c r="AC26" s="5">
        <v>12979</v>
      </c>
      <c r="AD26" s="7">
        <v>3.4595456357114501E-2</v>
      </c>
      <c r="AE26" s="7">
        <v>-0.28714230790355399</v>
      </c>
      <c r="AF26" s="7" t="s">
        <v>13</v>
      </c>
      <c r="AG26" s="7">
        <v>2.0885228596623302E-2</v>
      </c>
      <c r="AH26">
        <v>-1</v>
      </c>
      <c r="AI26" s="12">
        <v>3.1185999999999998</v>
      </c>
      <c r="AL26" s="3">
        <v>8</v>
      </c>
      <c r="AM26" s="3" t="s">
        <v>48</v>
      </c>
      <c r="AN26" s="4">
        <v>2263</v>
      </c>
      <c r="AO26" s="6">
        <v>-0.65753631961259096</v>
      </c>
      <c r="AP26" s="6">
        <v>-0.332054309327037</v>
      </c>
      <c r="AQ26" s="6" t="s">
        <v>13</v>
      </c>
      <c r="AR26" s="6">
        <v>4.3727778636574399E-2</v>
      </c>
      <c r="AS26" s="3">
        <v>2</v>
      </c>
      <c r="AT26" s="11">
        <v>0.56510000000000005</v>
      </c>
    </row>
    <row r="27" spans="1:46" x14ac:dyDescent="0.3">
      <c r="P27" s="3">
        <v>9</v>
      </c>
      <c r="Q27" s="3" t="s">
        <v>97</v>
      </c>
      <c r="R27" s="4">
        <v>12208</v>
      </c>
      <c r="S27" s="6">
        <v>0.12692698236868799</v>
      </c>
      <c r="T27" s="6">
        <v>-9.1936923534662304E-2</v>
      </c>
      <c r="U27" s="6" t="s">
        <v>12</v>
      </c>
      <c r="V27" s="6">
        <v>2.5862105490613099E-2</v>
      </c>
      <c r="W27" s="3">
        <v>6</v>
      </c>
      <c r="X27" s="11">
        <v>2.5651999999999999</v>
      </c>
      <c r="AA27">
        <v>9</v>
      </c>
      <c r="AB27" t="s">
        <v>98</v>
      </c>
      <c r="AC27" s="5">
        <v>12788</v>
      </c>
      <c r="AD27" s="7">
        <v>0.259281142294436</v>
      </c>
      <c r="AE27" s="7">
        <v>-0.13160396577482</v>
      </c>
      <c r="AF27" s="7" t="s">
        <v>12</v>
      </c>
      <c r="AG27" s="7">
        <v>2.05778799055104E-2</v>
      </c>
      <c r="AH27">
        <v>7</v>
      </c>
      <c r="AI27" s="12">
        <v>2.7513999999999998</v>
      </c>
      <c r="AL27" s="3">
        <v>9</v>
      </c>
      <c r="AM27" s="3" t="s">
        <v>57</v>
      </c>
      <c r="AN27" s="4">
        <v>2243</v>
      </c>
      <c r="AO27" s="6">
        <v>-0.39164632492541401</v>
      </c>
      <c r="AP27" s="6">
        <v>-0.39655636265805799</v>
      </c>
      <c r="AQ27" s="6" t="s">
        <v>13</v>
      </c>
      <c r="AR27" s="6">
        <v>4.3341320142216699E-2</v>
      </c>
      <c r="AS27" s="3">
        <v>-1</v>
      </c>
      <c r="AT27" s="11">
        <v>0.59599999999999997</v>
      </c>
    </row>
    <row r="28" spans="1:46" x14ac:dyDescent="0.3">
      <c r="P28" s="3">
        <v>10</v>
      </c>
      <c r="Q28" s="3" t="s">
        <v>99</v>
      </c>
      <c r="R28" s="4">
        <v>12169</v>
      </c>
      <c r="S28" s="6">
        <v>0.32574354504848002</v>
      </c>
      <c r="T28" s="6">
        <v>-6.7581028273695498E-2</v>
      </c>
      <c r="U28" s="6" t="s">
        <v>12</v>
      </c>
      <c r="V28" s="6">
        <v>2.5779485723727999E-2</v>
      </c>
      <c r="W28" s="3">
        <v>7</v>
      </c>
      <c r="X28" s="11">
        <v>2.5219999999999998</v>
      </c>
      <c r="AA28">
        <v>10</v>
      </c>
      <c r="AB28" t="s">
        <v>84</v>
      </c>
      <c r="AC28" s="5">
        <v>12401</v>
      </c>
      <c r="AD28" s="7">
        <v>0.32929574445278198</v>
      </c>
      <c r="AE28" s="7">
        <v>-0.24915233712763399</v>
      </c>
      <c r="AF28" s="7" t="s">
        <v>12</v>
      </c>
      <c r="AG28" s="7">
        <v>1.9955136746030201E-2</v>
      </c>
      <c r="AH28">
        <v>3</v>
      </c>
      <c r="AI28" s="12">
        <v>2.8917000000000002</v>
      </c>
      <c r="AL28" s="3">
        <v>10</v>
      </c>
      <c r="AM28" s="3" t="s">
        <v>63</v>
      </c>
      <c r="AN28" s="4">
        <v>2147</v>
      </c>
      <c r="AO28" s="6">
        <v>-0.67090741876149596</v>
      </c>
      <c r="AP28" s="6">
        <v>-0.21008094186902099</v>
      </c>
      <c r="AQ28" s="6" t="s">
        <v>11</v>
      </c>
      <c r="AR28" s="6">
        <v>4.1486319369299703E-2</v>
      </c>
      <c r="AS28" s="3">
        <v>3</v>
      </c>
      <c r="AT28" s="11">
        <v>0.48649999999999999</v>
      </c>
    </row>
    <row r="29" spans="1:46" x14ac:dyDescent="0.3">
      <c r="P29" s="3">
        <v>11</v>
      </c>
      <c r="Q29" s="3" t="s">
        <v>30</v>
      </c>
      <c r="R29" s="4">
        <v>11917</v>
      </c>
      <c r="S29" s="6">
        <v>-0.497342669141218</v>
      </c>
      <c r="T29" s="6">
        <v>-0.19901868530716499</v>
      </c>
      <c r="U29" s="6" t="s">
        <v>11</v>
      </c>
      <c r="V29" s="6">
        <v>2.5245634922316199E-2</v>
      </c>
      <c r="W29" s="3">
        <v>-3</v>
      </c>
      <c r="X29" s="11">
        <v>2.6795</v>
      </c>
      <c r="AA29">
        <v>11</v>
      </c>
      <c r="AB29" t="s">
        <v>65</v>
      </c>
      <c r="AC29" s="5">
        <v>12023</v>
      </c>
      <c r="AD29" s="7">
        <v>2.89259734702609E-2</v>
      </c>
      <c r="AE29" s="7">
        <v>-0.35325443786982202</v>
      </c>
      <c r="AF29" s="7" t="s">
        <v>12</v>
      </c>
      <c r="AG29" s="7">
        <v>1.9346875985607699E-2</v>
      </c>
      <c r="AH29">
        <v>-6</v>
      </c>
      <c r="AI29" s="12">
        <v>3.0613000000000001</v>
      </c>
      <c r="AL29" s="3">
        <v>11</v>
      </c>
      <c r="AM29" s="3" t="s">
        <v>54</v>
      </c>
      <c r="AN29" s="4">
        <v>2138</v>
      </c>
      <c r="AO29" s="6">
        <v>-0.22564288301340099</v>
      </c>
      <c r="AP29" s="6">
        <v>-0.50907003444316901</v>
      </c>
      <c r="AQ29" s="6" t="s">
        <v>13</v>
      </c>
      <c r="AR29" s="6">
        <v>4.1312413046838803E-2</v>
      </c>
      <c r="AS29" s="3">
        <v>-5</v>
      </c>
      <c r="AT29" s="11">
        <v>0.64929999999999999</v>
      </c>
    </row>
    <row r="30" spans="1:46" x14ac:dyDescent="0.3">
      <c r="P30" s="3">
        <v>12</v>
      </c>
      <c r="Q30" s="3" t="s">
        <v>100</v>
      </c>
      <c r="R30" s="4">
        <v>11542</v>
      </c>
      <c r="S30" s="6">
        <v>0.66791907514450899</v>
      </c>
      <c r="T30" s="6">
        <v>-0.16374438487175799</v>
      </c>
      <c r="U30" s="6" t="s">
        <v>13</v>
      </c>
      <c r="V30" s="6">
        <v>2.4451214086882101E-2</v>
      </c>
      <c r="W30" s="3">
        <v>-1</v>
      </c>
      <c r="X30" s="11">
        <v>2.5344000000000002</v>
      </c>
      <c r="AA30">
        <v>12</v>
      </c>
      <c r="AB30" t="s">
        <v>68</v>
      </c>
      <c r="AC30" s="5">
        <v>11775</v>
      </c>
      <c r="AD30" s="7">
        <v>27.860294117647101</v>
      </c>
      <c r="AE30" s="7">
        <v>-0.361615613987531</v>
      </c>
      <c r="AF30" s="7" t="s">
        <v>34</v>
      </c>
      <c r="AG30" s="7">
        <v>1.8947805433796101E-2</v>
      </c>
      <c r="AH30">
        <v>-6</v>
      </c>
      <c r="AI30" s="12">
        <v>3.0219999999999998</v>
      </c>
      <c r="AL30" s="3">
        <v>12</v>
      </c>
      <c r="AM30" s="3" t="s">
        <v>69</v>
      </c>
      <c r="AN30" s="4">
        <v>1894</v>
      </c>
      <c r="AO30" s="6">
        <v>1.1997677119628301</v>
      </c>
      <c r="AP30" s="6">
        <v>-0.51122580645161297</v>
      </c>
      <c r="AQ30" s="6" t="s">
        <v>13</v>
      </c>
      <c r="AR30" s="6">
        <v>3.6597619415674798E-2</v>
      </c>
      <c r="AS30" s="3">
        <v>-5</v>
      </c>
      <c r="AT30" s="11">
        <v>0.57689999999999997</v>
      </c>
    </row>
    <row r="31" spans="1:46" x14ac:dyDescent="0.3">
      <c r="P31" s="3">
        <v>13</v>
      </c>
      <c r="Q31" s="3" t="s">
        <v>49</v>
      </c>
      <c r="R31" s="4">
        <v>10758</v>
      </c>
      <c r="S31" s="6">
        <v>8.1423401688781594E-2</v>
      </c>
      <c r="T31" s="6">
        <v>-0.33072041806644298</v>
      </c>
      <c r="U31" s="6" t="s">
        <v>13</v>
      </c>
      <c r="V31" s="6">
        <v>2.2790344926934498E-2</v>
      </c>
      <c r="W31" s="3">
        <v>-6</v>
      </c>
      <c r="X31" s="11">
        <v>2.6831999999999998</v>
      </c>
      <c r="AA31">
        <v>13</v>
      </c>
      <c r="AB31" t="s">
        <v>59</v>
      </c>
      <c r="AC31" s="5">
        <v>11072</v>
      </c>
      <c r="AD31" s="7" t="e">
        <v>#DIV/0!</v>
      </c>
      <c r="AE31" s="7">
        <v>-0.37055144968732201</v>
      </c>
      <c r="AF31" s="7" t="s">
        <v>13</v>
      </c>
      <c r="AG31" s="7">
        <v>1.78165691518463E-2</v>
      </c>
      <c r="AH31">
        <v>-4</v>
      </c>
      <c r="AI31" s="12">
        <v>2.8662000000000001</v>
      </c>
      <c r="AL31" s="3">
        <v>13</v>
      </c>
      <c r="AM31" s="3" t="s">
        <v>75</v>
      </c>
      <c r="AN31" s="4">
        <v>1399</v>
      </c>
      <c r="AO31" s="6">
        <v>-0.39173913043478298</v>
      </c>
      <c r="AP31" s="6">
        <v>-0.51322199025748105</v>
      </c>
      <c r="AQ31" s="6" t="s">
        <v>12</v>
      </c>
      <c r="AR31" s="6">
        <v>2.7032771680321501E-2</v>
      </c>
      <c r="AS31" s="3">
        <v>-1</v>
      </c>
      <c r="AT31" s="11">
        <v>0.42730000000000001</v>
      </c>
    </row>
    <row r="32" spans="1:46" x14ac:dyDescent="0.3">
      <c r="P32" s="3">
        <v>14</v>
      </c>
      <c r="Q32" s="3" t="s">
        <v>101</v>
      </c>
      <c r="R32" s="4">
        <v>10144</v>
      </c>
      <c r="S32" s="6">
        <v>0.18297376093294501</v>
      </c>
      <c r="T32" s="6">
        <v>-0.44223896189585998</v>
      </c>
      <c r="U32" s="6" t="s">
        <v>34</v>
      </c>
      <c r="V32" s="6">
        <v>2.1489613212383601E-2</v>
      </c>
      <c r="W32" s="3">
        <v>-9</v>
      </c>
      <c r="X32" s="11">
        <v>2.8331</v>
      </c>
      <c r="AA32">
        <v>14</v>
      </c>
      <c r="AB32" t="s">
        <v>102</v>
      </c>
      <c r="AC32" s="5">
        <v>10505</v>
      </c>
      <c r="AD32" s="7">
        <v>0.19293663411310499</v>
      </c>
      <c r="AE32" s="7">
        <v>-0.454597372929754</v>
      </c>
      <c r="AF32" s="7" t="s">
        <v>12</v>
      </c>
      <c r="AG32" s="7">
        <v>1.6904178011212599E-2</v>
      </c>
      <c r="AH32">
        <v>-10</v>
      </c>
      <c r="AI32" s="12">
        <v>2.9765999999999999</v>
      </c>
      <c r="AL32" s="3">
        <v>14</v>
      </c>
      <c r="AM32" s="3" t="s">
        <v>51</v>
      </c>
      <c r="AN32" s="4">
        <v>1180</v>
      </c>
      <c r="AO32" s="6">
        <v>-0.65905807570066499</v>
      </c>
      <c r="AP32" s="6">
        <v>-0.26889714993804198</v>
      </c>
      <c r="AQ32" s="6" t="s">
        <v>11</v>
      </c>
      <c r="AR32" s="6">
        <v>2.2801051167104701E-2</v>
      </c>
      <c r="AS32" s="3">
        <v>1</v>
      </c>
      <c r="AT32" s="11">
        <v>0.27939999999999998</v>
      </c>
    </row>
    <row r="33" spans="16:46" x14ac:dyDescent="0.3">
      <c r="P33" s="3">
        <v>15</v>
      </c>
      <c r="Q33" s="3" t="s">
        <v>103</v>
      </c>
      <c r="R33" s="4">
        <v>8659</v>
      </c>
      <c r="S33" s="6">
        <v>0.65122044241037402</v>
      </c>
      <c r="T33" s="6">
        <v>-0.340568121239814</v>
      </c>
      <c r="U33" s="6" t="s">
        <v>13</v>
      </c>
      <c r="V33" s="6">
        <v>1.8343706704064499E-2</v>
      </c>
      <c r="W33" s="3">
        <v>1</v>
      </c>
      <c r="X33" s="11">
        <v>2.1789999999999998</v>
      </c>
      <c r="AA33">
        <v>15</v>
      </c>
      <c r="AB33" t="s">
        <v>104</v>
      </c>
      <c r="AC33" s="5">
        <v>9922</v>
      </c>
      <c r="AD33" s="7">
        <v>0.52740147783251201</v>
      </c>
      <c r="AE33" s="7">
        <v>-0.22229189528139201</v>
      </c>
      <c r="AF33" s="7" t="s">
        <v>12</v>
      </c>
      <c r="AG33" s="7">
        <v>1.5966040383365201E-2</v>
      </c>
      <c r="AH33">
        <v>4</v>
      </c>
      <c r="AI33" s="12">
        <v>2.2679999999999998</v>
      </c>
      <c r="AL33" s="3">
        <v>15</v>
      </c>
      <c r="AM33" s="3" t="s">
        <v>86</v>
      </c>
      <c r="AN33" s="4">
        <v>1144</v>
      </c>
      <c r="AO33" s="6">
        <v>0.62731152204836405</v>
      </c>
      <c r="AP33" s="6">
        <v>-0.42017232640648799</v>
      </c>
      <c r="AQ33" s="6" t="s">
        <v>13</v>
      </c>
      <c r="AR33" s="6">
        <v>2.21054258772608E-2</v>
      </c>
      <c r="AS33" s="3">
        <v>-1</v>
      </c>
      <c r="AT33" s="11">
        <v>0.31169999999999998</v>
      </c>
    </row>
    <row r="34" spans="16:46" x14ac:dyDescent="0.3">
      <c r="P34" s="3"/>
      <c r="Q34" s="3"/>
      <c r="R34" s="3"/>
      <c r="S34" s="3"/>
      <c r="T34" s="3"/>
      <c r="U34" s="3"/>
      <c r="V34" s="3"/>
      <c r="W34" s="3"/>
      <c r="X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6:46" x14ac:dyDescent="0.3">
      <c r="P35" s="3"/>
      <c r="Q35" s="3"/>
      <c r="R35" s="3"/>
      <c r="S35" s="3"/>
      <c r="T35" s="3"/>
      <c r="U35" s="1"/>
      <c r="V35" s="3"/>
      <c r="W35" s="3"/>
      <c r="X35" s="3"/>
      <c r="AF35" s="1"/>
      <c r="AL35" s="3"/>
      <c r="AM35" s="3"/>
      <c r="AN35" s="3"/>
      <c r="AO35" s="3"/>
      <c r="AP35" s="3"/>
      <c r="AQ35" s="3"/>
      <c r="AR35" s="3"/>
      <c r="AS35" s="3"/>
      <c r="AT35" s="3"/>
    </row>
    <row r="36" spans="16:46" x14ac:dyDescent="0.3">
      <c r="U36" s="1" t="s">
        <v>76</v>
      </c>
      <c r="V36" s="7">
        <v>0.42613792840467601</v>
      </c>
      <c r="AF36" s="1" t="s">
        <v>76</v>
      </c>
      <c r="AG36" s="7">
        <v>0.32914792000566401</v>
      </c>
      <c r="AQ36" s="1" t="s">
        <v>76</v>
      </c>
      <c r="AR36" s="7">
        <v>0.81252898438707699</v>
      </c>
    </row>
  </sheetData>
  <mergeCells count="6">
    <mergeCell ref="AL1:AT2"/>
    <mergeCell ref="A1:E2"/>
    <mergeCell ref="H1:M2"/>
    <mergeCell ref="P1:X2"/>
    <mergeCell ref="AA1:AE2"/>
    <mergeCell ref="AF1:AI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6"/>
  <sheetViews>
    <sheetView workbookViewId="0">
      <selection activeCell="AQ36" sqref="AQ36"/>
    </sheetView>
  </sheetViews>
  <sheetFormatPr defaultColWidth="9" defaultRowHeight="14" x14ac:dyDescent="0.3"/>
  <sheetData>
    <row r="1" spans="1:46" x14ac:dyDescent="0.3">
      <c r="A1" s="16" t="s">
        <v>0</v>
      </c>
      <c r="B1" s="17"/>
      <c r="C1" s="17"/>
      <c r="D1" s="17"/>
      <c r="E1" s="17"/>
      <c r="H1" s="16" t="s">
        <v>105</v>
      </c>
      <c r="I1" s="16"/>
      <c r="J1" s="16"/>
      <c r="K1" s="16"/>
      <c r="L1" s="16"/>
      <c r="M1" s="16"/>
      <c r="P1" s="16" t="s">
        <v>2</v>
      </c>
      <c r="Q1" s="16"/>
      <c r="R1" s="16"/>
      <c r="S1" s="16"/>
      <c r="T1" s="16"/>
      <c r="U1" s="16"/>
      <c r="V1" s="16"/>
      <c r="W1" s="16"/>
      <c r="X1" s="16"/>
      <c r="AA1" s="16" t="s">
        <v>3</v>
      </c>
      <c r="AB1" s="17"/>
      <c r="AC1" s="17"/>
      <c r="AD1" s="17"/>
      <c r="AE1" s="17"/>
      <c r="AF1" s="16"/>
      <c r="AG1" s="17"/>
      <c r="AH1" s="17"/>
      <c r="AI1" s="17"/>
      <c r="AL1" s="16" t="s">
        <v>4</v>
      </c>
      <c r="AM1" s="16"/>
      <c r="AN1" s="16"/>
      <c r="AO1" s="16"/>
      <c r="AP1" s="16"/>
      <c r="AQ1" s="16"/>
      <c r="AR1" s="16"/>
      <c r="AS1" s="16"/>
      <c r="AT1" s="16"/>
    </row>
    <row r="2" spans="1:46" x14ac:dyDescent="0.3">
      <c r="A2" s="17"/>
      <c r="B2" s="17"/>
      <c r="C2" s="17"/>
      <c r="D2" s="17"/>
      <c r="E2" s="17"/>
      <c r="H2" s="16"/>
      <c r="I2" s="16"/>
      <c r="J2" s="16"/>
      <c r="K2" s="16"/>
      <c r="L2" s="16"/>
      <c r="M2" s="16"/>
      <c r="P2" s="16"/>
      <c r="Q2" s="16"/>
      <c r="R2" s="16"/>
      <c r="S2" s="16"/>
      <c r="T2" s="16"/>
      <c r="U2" s="16"/>
      <c r="V2" s="16"/>
      <c r="W2" s="16"/>
      <c r="X2" s="16"/>
      <c r="AA2" s="17"/>
      <c r="AB2" s="17"/>
      <c r="AC2" s="17"/>
      <c r="AD2" s="17"/>
      <c r="AE2" s="17"/>
      <c r="AF2" s="17"/>
      <c r="AG2" s="17"/>
      <c r="AH2" s="17"/>
      <c r="AI2" s="17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3">
      <c r="A3" s="1" t="s">
        <v>89</v>
      </c>
      <c r="B3" s="2" t="s">
        <v>6</v>
      </c>
      <c r="C3" s="2" t="s">
        <v>7</v>
      </c>
      <c r="D3" s="2" t="s">
        <v>8</v>
      </c>
      <c r="E3" s="2" t="s">
        <v>9</v>
      </c>
      <c r="F3" t="s">
        <v>90</v>
      </c>
      <c r="P3" s="1" t="s">
        <v>89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3"/>
      <c r="W3" s="3"/>
      <c r="X3" s="3"/>
      <c r="AA3" s="1" t="s">
        <v>91</v>
      </c>
      <c r="AB3" s="2" t="s">
        <v>11</v>
      </c>
      <c r="AC3" s="2" t="s">
        <v>12</v>
      </c>
      <c r="AD3" s="2" t="s">
        <v>13</v>
      </c>
      <c r="AE3" s="2" t="s">
        <v>14</v>
      </c>
      <c r="AL3" s="1" t="s">
        <v>5</v>
      </c>
      <c r="AM3" s="2" t="s">
        <v>11</v>
      </c>
      <c r="AN3" s="2" t="s">
        <v>12</v>
      </c>
      <c r="AO3" s="2" t="s">
        <v>13</v>
      </c>
      <c r="AP3" s="3"/>
      <c r="AQ3" s="3"/>
      <c r="AR3" s="3"/>
      <c r="AS3" s="3"/>
      <c r="AT3" s="3"/>
    </row>
    <row r="4" spans="1:46" x14ac:dyDescent="0.3">
      <c r="A4" s="1">
        <v>2025</v>
      </c>
      <c r="B4" s="4">
        <v>833965</v>
      </c>
      <c r="C4" s="4">
        <v>915632</v>
      </c>
      <c r="D4" s="4">
        <v>84716</v>
      </c>
      <c r="E4" s="4">
        <v>6370</v>
      </c>
      <c r="F4" s="5">
        <v>1840683</v>
      </c>
      <c r="P4" s="1">
        <v>2025</v>
      </c>
      <c r="Q4" s="4">
        <v>42036</v>
      </c>
      <c r="R4" s="4">
        <v>60835</v>
      </c>
      <c r="S4" s="4">
        <v>314377</v>
      </c>
      <c r="T4" s="4">
        <v>299144</v>
      </c>
      <c r="U4" s="4">
        <v>117573</v>
      </c>
      <c r="V4" s="3"/>
      <c r="W4" s="3"/>
      <c r="X4" s="3"/>
      <c r="AA4" s="1">
        <v>2025</v>
      </c>
      <c r="AB4" s="5">
        <v>46916</v>
      </c>
      <c r="AC4" s="5">
        <v>424946</v>
      </c>
      <c r="AD4" s="5">
        <v>356367</v>
      </c>
      <c r="AE4" s="5">
        <v>87403</v>
      </c>
      <c r="AL4" s="1">
        <v>2025</v>
      </c>
      <c r="AM4" s="4">
        <v>13002</v>
      </c>
      <c r="AN4" s="4">
        <v>7809</v>
      </c>
      <c r="AO4" s="4">
        <v>63903</v>
      </c>
      <c r="AP4" s="3"/>
      <c r="AQ4" s="3"/>
      <c r="AR4" s="3"/>
      <c r="AS4" s="3"/>
      <c r="AT4" s="3"/>
    </row>
    <row r="5" spans="1:46" x14ac:dyDescent="0.3">
      <c r="A5" s="1">
        <v>2026</v>
      </c>
      <c r="B5" s="4">
        <v>622011</v>
      </c>
      <c r="C5" s="4">
        <v>854695</v>
      </c>
      <c r="D5" s="4">
        <v>81814</v>
      </c>
      <c r="E5" s="4">
        <v>5542</v>
      </c>
      <c r="F5" s="5">
        <v>1564062</v>
      </c>
      <c r="P5" s="1">
        <v>2026</v>
      </c>
      <c r="Q5" s="4">
        <v>10750</v>
      </c>
      <c r="R5" s="4">
        <v>46377</v>
      </c>
      <c r="S5" s="4">
        <v>229803</v>
      </c>
      <c r="T5" s="4">
        <v>239284</v>
      </c>
      <c r="U5" s="4">
        <v>95797</v>
      </c>
      <c r="V5" s="3"/>
      <c r="W5" s="3"/>
      <c r="X5" s="3"/>
      <c r="AA5" s="1">
        <v>2026</v>
      </c>
      <c r="AB5" s="5">
        <v>29988</v>
      </c>
      <c r="AC5" s="5">
        <v>351316</v>
      </c>
      <c r="AD5" s="5">
        <v>312905</v>
      </c>
      <c r="AE5" s="5">
        <v>160486</v>
      </c>
      <c r="AL5" s="1">
        <v>2026</v>
      </c>
      <c r="AM5" s="4">
        <v>9283</v>
      </c>
      <c r="AN5" s="4">
        <v>11207</v>
      </c>
      <c r="AO5" s="4">
        <v>61323</v>
      </c>
      <c r="AP5" s="3"/>
      <c r="AQ5" s="3"/>
      <c r="AR5" s="3"/>
      <c r="AS5" s="3"/>
      <c r="AT5" s="3"/>
    </row>
    <row r="6" spans="1:46" x14ac:dyDescent="0.3">
      <c r="A6" s="1" t="s">
        <v>15</v>
      </c>
      <c r="B6" s="6">
        <v>-0.25415215266827701</v>
      </c>
      <c r="C6" s="6">
        <v>-6.6551846156534505E-2</v>
      </c>
      <c r="D6" s="6">
        <v>-3.4255630577458798E-2</v>
      </c>
      <c r="E6" s="6">
        <v>-0.12998430141287301</v>
      </c>
      <c r="F6" s="7">
        <v>-0.15028171608039001</v>
      </c>
      <c r="P6" s="1" t="s">
        <v>15</v>
      </c>
      <c r="Q6" s="6">
        <v>-0.74426681891711899</v>
      </c>
      <c r="R6" s="6">
        <v>-0.237659242212542</v>
      </c>
      <c r="S6" s="6">
        <v>-0.26902095255059999</v>
      </c>
      <c r="T6" s="6">
        <v>-0.200104297595807</v>
      </c>
      <c r="U6" s="6">
        <v>-0.18521259132623999</v>
      </c>
      <c r="V6" s="3"/>
      <c r="W6" s="3"/>
      <c r="X6" s="3"/>
      <c r="AA6" s="1" t="s">
        <v>15</v>
      </c>
      <c r="AB6" s="7">
        <v>-0.36081507374882799</v>
      </c>
      <c r="AC6" s="7">
        <v>-0.17326907418824999</v>
      </c>
      <c r="AD6" s="7">
        <v>-0.121958542738245</v>
      </c>
      <c r="AE6" s="7">
        <v>0.83616123016372401</v>
      </c>
      <c r="AL6" s="1" t="s">
        <v>15</v>
      </c>
      <c r="AM6" s="6">
        <v>-0.28603291801261299</v>
      </c>
      <c r="AN6" s="6">
        <v>0.43513894224612598</v>
      </c>
      <c r="AO6" s="6">
        <v>-4.0373691375991803E-2</v>
      </c>
      <c r="AP6" s="3"/>
      <c r="AQ6" s="3"/>
      <c r="AR6" s="3"/>
      <c r="AS6" s="3"/>
      <c r="AT6" s="3"/>
    </row>
    <row r="7" spans="1:46" x14ac:dyDescent="0.3">
      <c r="A7" s="1" t="s">
        <v>16</v>
      </c>
      <c r="B7" s="6">
        <v>-0.37969050893399398</v>
      </c>
      <c r="C7" s="6">
        <v>-0.29400924475811002</v>
      </c>
      <c r="D7" s="6">
        <v>-0.248178200898724</v>
      </c>
      <c r="E7" s="6">
        <v>-0.12143310082434999</v>
      </c>
      <c r="F7" s="7">
        <v>-0.328297481988435</v>
      </c>
      <c r="P7" s="1" t="s">
        <v>16</v>
      </c>
      <c r="Q7" s="6">
        <v>-0.73458756141520398</v>
      </c>
      <c r="R7" s="6">
        <v>-0.61688365330601702</v>
      </c>
      <c r="S7" s="6">
        <v>-0.30834103338159002</v>
      </c>
      <c r="T7" s="6">
        <v>-0.33484367920253699</v>
      </c>
      <c r="U7" s="6">
        <v>-0.35792034745774098</v>
      </c>
      <c r="V7" s="3"/>
      <c r="W7" s="3"/>
      <c r="X7" s="3"/>
      <c r="AA7" s="1" t="s">
        <v>16</v>
      </c>
      <c r="AB7" s="7">
        <v>-0.47908560311283999</v>
      </c>
      <c r="AC7" s="7">
        <v>-0.16026636963806801</v>
      </c>
      <c r="AD7" s="7">
        <v>-0.386903175747696</v>
      </c>
      <c r="AE7" s="7">
        <v>-0.28459858244550401</v>
      </c>
      <c r="AL7" s="1" t="s">
        <v>16</v>
      </c>
      <c r="AM7" s="6">
        <v>-0.18103220114689</v>
      </c>
      <c r="AN7" s="6">
        <v>-0.12184610562607701</v>
      </c>
      <c r="AO7" s="6">
        <v>-0.27620272886077102</v>
      </c>
      <c r="AP7" s="3"/>
      <c r="AQ7" s="3"/>
      <c r="AR7" s="3"/>
      <c r="AS7" s="3"/>
      <c r="AT7" s="3"/>
    </row>
    <row r="8" spans="1:46" x14ac:dyDescent="0.3">
      <c r="A8" s="1">
        <v>2026</v>
      </c>
      <c r="B8" s="4">
        <v>622011</v>
      </c>
      <c r="C8" s="4">
        <v>854695</v>
      </c>
      <c r="D8" s="4">
        <v>81814</v>
      </c>
      <c r="E8" s="4">
        <v>5542</v>
      </c>
      <c r="F8" s="5">
        <v>1564062</v>
      </c>
      <c r="P8" s="1" t="s">
        <v>17</v>
      </c>
      <c r="Q8" s="6">
        <v>1.7282652557591399E-2</v>
      </c>
      <c r="R8" s="6">
        <v>7.4559774666364403E-2</v>
      </c>
      <c r="S8" s="6">
        <v>0.36945166564578402</v>
      </c>
      <c r="T8" s="6">
        <v>0.38469416135727502</v>
      </c>
      <c r="U8" s="6">
        <v>0.15401174577298499</v>
      </c>
      <c r="V8" s="3"/>
      <c r="W8" s="3"/>
      <c r="X8" s="3"/>
      <c r="AA8" s="1" t="s">
        <v>17</v>
      </c>
      <c r="AB8" s="7">
        <v>3.5086200340472301E-2</v>
      </c>
      <c r="AC8" s="7">
        <v>0.411042535641369</v>
      </c>
      <c r="AD8" s="7">
        <v>0.36610135779430097</v>
      </c>
      <c r="AE8" s="7">
        <v>0.187769906223858</v>
      </c>
      <c r="AL8" s="1" t="s">
        <v>17</v>
      </c>
      <c r="AM8" s="6">
        <v>0.113464688195174</v>
      </c>
      <c r="AN8" s="6">
        <v>0.13698144571833701</v>
      </c>
      <c r="AO8" s="6">
        <v>0.74954164323954298</v>
      </c>
      <c r="AP8" s="3"/>
      <c r="AQ8" s="3"/>
      <c r="AR8" s="3"/>
      <c r="AS8" s="3"/>
      <c r="AT8" s="3"/>
    </row>
    <row r="9" spans="1:46" x14ac:dyDescent="0.3">
      <c r="A9" s="1" t="s">
        <v>106</v>
      </c>
      <c r="B9" s="8">
        <v>-0.25415215266827701</v>
      </c>
      <c r="C9" s="8">
        <v>-6.6551846156534505E-2</v>
      </c>
      <c r="D9" s="8">
        <v>-3.4255630577458798E-2</v>
      </c>
      <c r="E9" s="8">
        <v>-0.12998430141287301</v>
      </c>
      <c r="F9" s="7">
        <v>-0.15028171608039001</v>
      </c>
      <c r="P9" s="1" t="s">
        <v>92</v>
      </c>
      <c r="Q9" s="6">
        <v>-3.3122340457703001E-2</v>
      </c>
      <c r="R9" s="6">
        <v>1.6130682698129999E-3</v>
      </c>
      <c r="S9" s="6">
        <v>-7.5149936264872199E-3</v>
      </c>
      <c r="T9" s="6">
        <v>2.5993256643048399E-2</v>
      </c>
      <c r="U9" s="6">
        <v>1.30310091713288E-2</v>
      </c>
      <c r="V9" s="3"/>
      <c r="W9" s="3"/>
      <c r="X9" s="3"/>
      <c r="AA9" s="1" t="s">
        <v>92</v>
      </c>
      <c r="AB9" s="7">
        <v>-1.6152725341461002E-2</v>
      </c>
      <c r="AC9" s="7">
        <v>-5.3058762696827903E-2</v>
      </c>
      <c r="AD9" s="7">
        <v>-2.3101946589993299E-2</v>
      </c>
      <c r="AE9" s="7">
        <v>9.2313434628282107E-2</v>
      </c>
      <c r="AL9" s="1" t="s">
        <v>92</v>
      </c>
      <c r="AM9" s="6">
        <v>-4.00128131032816E-2</v>
      </c>
      <c r="AN9" s="6">
        <v>4.4802872603458797E-2</v>
      </c>
      <c r="AO9" s="6">
        <v>-4.7786740558908303E-3</v>
      </c>
      <c r="AP9" s="3"/>
      <c r="AQ9" s="3"/>
      <c r="AR9" s="3"/>
      <c r="AS9" s="3"/>
      <c r="AT9" s="3"/>
    </row>
    <row r="10" spans="1:46" x14ac:dyDescent="0.3">
      <c r="B10" s="4"/>
      <c r="C10" s="4"/>
      <c r="D10" s="4"/>
      <c r="E10" s="4"/>
      <c r="V10" s="3"/>
      <c r="W10" s="3"/>
      <c r="X10" s="3"/>
      <c r="AP10" s="3"/>
      <c r="AQ10" s="3"/>
      <c r="AR10" s="3"/>
      <c r="AS10" s="3"/>
      <c r="AT10" s="3"/>
    </row>
    <row r="11" spans="1:46" x14ac:dyDescent="0.3">
      <c r="B11" s="3"/>
      <c r="C11" s="3"/>
      <c r="D11" s="3"/>
      <c r="E11" s="3"/>
      <c r="P11" s="1" t="s">
        <v>19</v>
      </c>
      <c r="Q11" s="2" t="s">
        <v>10</v>
      </c>
      <c r="R11" s="2" t="s">
        <v>11</v>
      </c>
      <c r="S11" s="2" t="s">
        <v>12</v>
      </c>
      <c r="T11" s="2" t="s">
        <v>13</v>
      </c>
      <c r="U11" s="2" t="s">
        <v>14</v>
      </c>
      <c r="V11" s="3"/>
      <c r="W11" s="3"/>
      <c r="X11" s="3"/>
      <c r="AA11" s="1" t="s">
        <v>93</v>
      </c>
      <c r="AB11" s="2" t="s">
        <v>11</v>
      </c>
      <c r="AC11" s="2" t="s">
        <v>12</v>
      </c>
      <c r="AD11" s="2" t="s">
        <v>13</v>
      </c>
      <c r="AE11" s="2" t="s">
        <v>14</v>
      </c>
      <c r="AL11" s="1" t="s">
        <v>18</v>
      </c>
      <c r="AM11" s="2" t="s">
        <v>11</v>
      </c>
      <c r="AN11" s="2" t="s">
        <v>12</v>
      </c>
      <c r="AO11" s="2" t="s">
        <v>13</v>
      </c>
      <c r="AP11" s="3"/>
      <c r="AQ11" s="3"/>
      <c r="AR11" s="3"/>
      <c r="AS11" s="3"/>
      <c r="AT11" s="3"/>
    </row>
    <row r="12" spans="1:46" x14ac:dyDescent="0.3">
      <c r="B12" s="3"/>
      <c r="C12" s="3"/>
      <c r="D12" s="3"/>
      <c r="E12" s="3"/>
      <c r="P12" s="1">
        <v>2025</v>
      </c>
      <c r="Q12" s="4">
        <v>42036</v>
      </c>
      <c r="R12" s="4">
        <v>60835</v>
      </c>
      <c r="S12" s="4">
        <v>314377</v>
      </c>
      <c r="T12" s="4">
        <v>299144</v>
      </c>
      <c r="U12" s="4">
        <v>117573</v>
      </c>
      <c r="V12" s="3"/>
      <c r="W12" s="3"/>
      <c r="X12" s="3"/>
      <c r="AA12" s="1">
        <v>2025</v>
      </c>
      <c r="AB12" s="5">
        <v>46916</v>
      </c>
      <c r="AC12" s="5">
        <v>424946</v>
      </c>
      <c r="AD12" s="5">
        <v>356367</v>
      </c>
      <c r="AE12" s="5">
        <v>87403</v>
      </c>
      <c r="AL12" s="1">
        <v>2025</v>
      </c>
      <c r="AM12" s="4">
        <v>13002</v>
      </c>
      <c r="AN12" s="4">
        <v>7809</v>
      </c>
      <c r="AO12" s="4">
        <v>63903</v>
      </c>
      <c r="AP12" s="3"/>
      <c r="AQ12" s="3"/>
      <c r="AR12" s="3"/>
      <c r="AS12" s="3"/>
      <c r="AT12" s="3"/>
    </row>
    <row r="13" spans="1:46" x14ac:dyDescent="0.3">
      <c r="A13" s="9"/>
      <c r="B13" s="3"/>
      <c r="C13" s="3"/>
      <c r="D13" s="3"/>
      <c r="E13" s="3"/>
      <c r="P13" s="1">
        <v>2026</v>
      </c>
      <c r="Q13" s="4">
        <v>10750</v>
      </c>
      <c r="R13" s="4">
        <v>46377</v>
      </c>
      <c r="S13" s="4">
        <v>229803</v>
      </c>
      <c r="T13" s="4">
        <v>239284</v>
      </c>
      <c r="U13" s="4">
        <v>95797</v>
      </c>
      <c r="V13" s="3"/>
      <c r="W13" s="3"/>
      <c r="X13" s="3"/>
      <c r="AA13" s="1">
        <v>2026</v>
      </c>
      <c r="AB13" s="5">
        <v>29988</v>
      </c>
      <c r="AC13" s="5">
        <v>351316</v>
      </c>
      <c r="AD13" s="5">
        <v>312905</v>
      </c>
      <c r="AE13" s="5">
        <v>160486</v>
      </c>
      <c r="AL13" s="1">
        <v>2026</v>
      </c>
      <c r="AM13" s="4">
        <v>9283</v>
      </c>
      <c r="AN13" s="4">
        <v>11207</v>
      </c>
      <c r="AO13" s="4">
        <v>61323</v>
      </c>
      <c r="AP13" s="3"/>
      <c r="AQ13" s="3"/>
      <c r="AR13" s="3"/>
      <c r="AS13" s="3"/>
      <c r="AT13" s="3"/>
    </row>
    <row r="14" spans="1:46" x14ac:dyDescent="0.3">
      <c r="A14" s="1" t="s">
        <v>19</v>
      </c>
      <c r="B14" s="2" t="s">
        <v>22</v>
      </c>
      <c r="C14" s="2" t="s">
        <v>23</v>
      </c>
      <c r="D14" s="2" t="s">
        <v>20</v>
      </c>
      <c r="E14" s="2" t="s">
        <v>21</v>
      </c>
      <c r="P14" s="1" t="s">
        <v>15</v>
      </c>
      <c r="Q14" s="6">
        <v>-0.74426681891711899</v>
      </c>
      <c r="R14" s="6">
        <v>-0.237659242212542</v>
      </c>
      <c r="S14" s="6">
        <v>-0.26902095255059999</v>
      </c>
      <c r="T14" s="6">
        <v>-0.200104297595807</v>
      </c>
      <c r="U14" s="6">
        <v>-0.18521259132623999</v>
      </c>
      <c r="V14" s="3"/>
      <c r="W14" s="3"/>
      <c r="X14" s="3"/>
      <c r="AA14" s="1" t="s">
        <v>15</v>
      </c>
      <c r="AB14" s="7">
        <v>-0.36081507374882799</v>
      </c>
      <c r="AC14" s="7">
        <v>-0.17326907418824999</v>
      </c>
      <c r="AD14" s="7">
        <v>-0.121958542738245</v>
      </c>
      <c r="AE14" s="7">
        <v>0.83616123016372401</v>
      </c>
      <c r="AL14" s="1" t="s">
        <v>15</v>
      </c>
      <c r="AM14" s="6">
        <v>-0.28603291801261299</v>
      </c>
      <c r="AN14" s="6">
        <v>0.43513894224612598</v>
      </c>
      <c r="AO14" s="6">
        <v>-4.0373691375991803E-2</v>
      </c>
      <c r="AP14" s="3"/>
      <c r="AQ14" s="3"/>
      <c r="AR14" s="3"/>
      <c r="AS14" s="3"/>
      <c r="AT14" s="3"/>
    </row>
    <row r="15" spans="1:46" x14ac:dyDescent="0.3">
      <c r="A15" s="1" t="s">
        <v>6</v>
      </c>
      <c r="B15" s="6">
        <v>0.45307366885009498</v>
      </c>
      <c r="C15" s="6">
        <v>0.39768947778285002</v>
      </c>
      <c r="D15" s="6">
        <v>0.45307366885009498</v>
      </c>
      <c r="E15" s="6">
        <v>0.39768947778285002</v>
      </c>
      <c r="P15" s="1" t="s">
        <v>17</v>
      </c>
      <c r="Q15" s="6">
        <v>1.7282652557591399E-2</v>
      </c>
      <c r="R15" s="6">
        <v>7.4559774666364403E-2</v>
      </c>
      <c r="S15" s="6">
        <v>0.36945166564578402</v>
      </c>
      <c r="T15" s="6">
        <v>0.38469416135727502</v>
      </c>
      <c r="U15" s="6">
        <v>0.15401174577298499</v>
      </c>
      <c r="V15" s="3"/>
      <c r="W15" s="3"/>
      <c r="X15" s="3"/>
      <c r="AA15" s="1" t="s">
        <v>17</v>
      </c>
      <c r="AB15" s="7">
        <v>3.5086200340472301E-2</v>
      </c>
      <c r="AC15" s="7">
        <v>0.411042535641369</v>
      </c>
      <c r="AD15" s="7">
        <v>0.36610135779430097</v>
      </c>
      <c r="AE15" s="7">
        <v>0.187769906223858</v>
      </c>
      <c r="AL15" s="1" t="s">
        <v>17</v>
      </c>
      <c r="AM15" s="6">
        <v>0.113464688195174</v>
      </c>
      <c r="AN15" s="6">
        <v>0.13698144571833701</v>
      </c>
      <c r="AO15" s="6">
        <v>0.74954164323954298</v>
      </c>
      <c r="AP15" s="3"/>
      <c r="AQ15" s="3"/>
      <c r="AR15" s="3"/>
      <c r="AS15" s="3"/>
      <c r="AT15" s="3"/>
    </row>
    <row r="16" spans="1:46" x14ac:dyDescent="0.3">
      <c r="A16" s="1" t="s">
        <v>7</v>
      </c>
      <c r="B16" s="10">
        <v>0.49744143885720699</v>
      </c>
      <c r="C16" s="10">
        <v>0.54645851635037501</v>
      </c>
      <c r="D16" s="10">
        <v>0.49744143885720699</v>
      </c>
      <c r="E16" s="10">
        <v>0.54645851635037501</v>
      </c>
      <c r="P16" s="1" t="s">
        <v>92</v>
      </c>
      <c r="Q16" s="6">
        <v>-3.3122340457703001E-2</v>
      </c>
      <c r="R16" s="6">
        <v>1.6130682698129999E-3</v>
      </c>
      <c r="S16" s="6">
        <v>-7.5149936264872199E-3</v>
      </c>
      <c r="T16" s="6">
        <v>2.5993256643048399E-2</v>
      </c>
      <c r="U16" s="6">
        <v>1.30310091713288E-2</v>
      </c>
      <c r="V16" s="3"/>
      <c r="W16" s="3"/>
      <c r="X16" s="3"/>
      <c r="AA16" s="1" t="s">
        <v>92</v>
      </c>
      <c r="AB16" s="7">
        <v>-1.6152725341461002E-2</v>
      </c>
      <c r="AC16" s="7">
        <v>-5.3058762696827903E-2</v>
      </c>
      <c r="AD16" s="7">
        <v>-2.3101946589993299E-2</v>
      </c>
      <c r="AE16" s="7">
        <v>9.2313434628282107E-2</v>
      </c>
      <c r="AL16" s="1" t="s">
        <v>92</v>
      </c>
      <c r="AM16" s="6">
        <v>-4.00128131032816E-2</v>
      </c>
      <c r="AN16" s="6">
        <v>4.4802872603458797E-2</v>
      </c>
      <c r="AO16" s="6">
        <v>-4.7786740558908303E-3</v>
      </c>
      <c r="AP16" s="3"/>
      <c r="AQ16" s="3"/>
      <c r="AR16" s="3"/>
      <c r="AS16" s="3"/>
      <c r="AT16" s="3"/>
    </row>
    <row r="17" spans="1:46" x14ac:dyDescent="0.3">
      <c r="A17" s="1" t="s">
        <v>8</v>
      </c>
      <c r="B17" s="6">
        <v>4.6024220357334701E-2</v>
      </c>
      <c r="C17" s="6">
        <v>5.2308668070703099E-2</v>
      </c>
      <c r="D17" s="6">
        <v>4.6024220357334701E-2</v>
      </c>
      <c r="E17" s="6">
        <v>5.2308668070703099E-2</v>
      </c>
      <c r="P17" s="3"/>
      <c r="AL17" s="3"/>
    </row>
    <row r="18" spans="1:46" x14ac:dyDescent="0.3">
      <c r="A18" s="1" t="s">
        <v>9</v>
      </c>
      <c r="B18" s="6">
        <v>3.4606719353631201E-3</v>
      </c>
      <c r="C18" s="6">
        <v>3.5433377960720201E-3</v>
      </c>
      <c r="D18" s="6">
        <v>3.4606719353631201E-3</v>
      </c>
      <c r="E18" s="6">
        <v>3.5433377960720201E-3</v>
      </c>
      <c r="P18" s="1" t="s">
        <v>19</v>
      </c>
      <c r="Q18" s="1" t="s">
        <v>25</v>
      </c>
      <c r="R18" s="1" t="s">
        <v>26</v>
      </c>
      <c r="S18" s="1" t="s">
        <v>15</v>
      </c>
      <c r="T18" s="3" t="s">
        <v>16</v>
      </c>
      <c r="U18" s="3" t="s">
        <v>27</v>
      </c>
      <c r="V18" s="3" t="s">
        <v>17</v>
      </c>
      <c r="W18" s="1" t="s">
        <v>28</v>
      </c>
      <c r="X18" s="3" t="s">
        <v>29</v>
      </c>
      <c r="AA18" s="1" t="s">
        <v>19</v>
      </c>
      <c r="AB18" s="1" t="s">
        <v>25</v>
      </c>
      <c r="AC18" s="1" t="s">
        <v>26</v>
      </c>
      <c r="AD18" s="1" t="s">
        <v>15</v>
      </c>
      <c r="AE18" t="s">
        <v>16</v>
      </c>
      <c r="AF18" t="s">
        <v>27</v>
      </c>
      <c r="AG18" t="s">
        <v>17</v>
      </c>
      <c r="AH18" s="1" t="s">
        <v>28</v>
      </c>
      <c r="AI18" t="s">
        <v>29</v>
      </c>
      <c r="AL18" s="1" t="s">
        <v>19</v>
      </c>
      <c r="AM18" s="1" t="s">
        <v>25</v>
      </c>
      <c r="AN18" s="1" t="s">
        <v>26</v>
      </c>
      <c r="AO18" s="1" t="s">
        <v>15</v>
      </c>
      <c r="AP18" s="3" t="s">
        <v>16</v>
      </c>
      <c r="AQ18" s="3" t="s">
        <v>27</v>
      </c>
      <c r="AR18" s="1" t="s">
        <v>17</v>
      </c>
      <c r="AS18" s="3" t="s">
        <v>28</v>
      </c>
      <c r="AT18" s="3" t="s">
        <v>29</v>
      </c>
    </row>
    <row r="19" spans="1:46" x14ac:dyDescent="0.3">
      <c r="P19" s="3">
        <v>1</v>
      </c>
      <c r="Q19" s="3" t="s">
        <v>46</v>
      </c>
      <c r="R19" s="4">
        <v>27638</v>
      </c>
      <c r="S19" s="6">
        <v>0.27340582381127898</v>
      </c>
      <c r="T19" s="6">
        <v>4.9382716049373198E-4</v>
      </c>
      <c r="U19" s="6" t="s">
        <v>12</v>
      </c>
      <c r="V19" s="6">
        <v>4.4433297803415102E-2</v>
      </c>
      <c r="W19" s="3">
        <v>4</v>
      </c>
      <c r="X19" s="11" t="e">
        <v>#N/A</v>
      </c>
      <c r="AA19">
        <v>1</v>
      </c>
      <c r="AB19" t="s">
        <v>82</v>
      </c>
      <c r="AC19" s="5">
        <v>37865</v>
      </c>
      <c r="AD19" s="7" t="e">
        <v>#DIV/0!</v>
      </c>
      <c r="AE19" s="7">
        <v>4.9382716049373198E-4</v>
      </c>
      <c r="AF19" s="7" t="s">
        <v>34</v>
      </c>
      <c r="AG19" s="7">
        <v>3.23906900702235E-2</v>
      </c>
      <c r="AH19">
        <v>1</v>
      </c>
      <c r="AI19" s="12">
        <v>5.7994000000000003</v>
      </c>
      <c r="AL19" s="3">
        <v>1</v>
      </c>
      <c r="AM19" s="3" t="s">
        <v>32</v>
      </c>
      <c r="AN19" s="4">
        <v>8777</v>
      </c>
      <c r="AO19" s="6">
        <v>0.49421178072863498</v>
      </c>
      <c r="AP19" s="6">
        <v>4.9382716049373198E-4</v>
      </c>
      <c r="AQ19" s="6" t="s">
        <v>13</v>
      </c>
      <c r="AR19" s="6">
        <v>0.105522491884372</v>
      </c>
      <c r="AS19" s="3">
        <v>1</v>
      </c>
      <c r="AT19" s="11">
        <v>1.3855999999999999</v>
      </c>
    </row>
    <row r="20" spans="1:46" x14ac:dyDescent="0.3">
      <c r="P20" s="3">
        <v>2</v>
      </c>
      <c r="Q20" s="3" t="s">
        <v>78</v>
      </c>
      <c r="R20" s="4">
        <v>22058</v>
      </c>
      <c r="S20" s="6">
        <v>-0.17920666815509401</v>
      </c>
      <c r="T20" s="6">
        <v>0.27340582381127898</v>
      </c>
      <c r="U20" s="6" t="s">
        <v>12</v>
      </c>
      <c r="V20" s="6">
        <v>3.5462395359567599E-2</v>
      </c>
      <c r="W20" s="3">
        <v>2</v>
      </c>
      <c r="X20" s="11" t="e">
        <v>#N/A</v>
      </c>
      <c r="AA20">
        <v>2</v>
      </c>
      <c r="AB20" t="s">
        <v>107</v>
      </c>
      <c r="AC20" s="5">
        <v>25026</v>
      </c>
      <c r="AD20" s="7">
        <v>1.85619721524766</v>
      </c>
      <c r="AE20" s="7" t="e">
        <v>#DIV/0!</v>
      </c>
      <c r="AF20" s="7" t="s">
        <v>34</v>
      </c>
      <c r="AG20" s="7">
        <v>2.8770090305803901E-2</v>
      </c>
      <c r="AH20">
        <v>2</v>
      </c>
      <c r="AI20" s="12">
        <v>3.3969999999999998</v>
      </c>
      <c r="AL20" s="3">
        <v>2</v>
      </c>
      <c r="AM20" s="3" t="s">
        <v>36</v>
      </c>
      <c r="AN20" s="4">
        <v>7179</v>
      </c>
      <c r="AO20" s="6">
        <v>-0.152920353982301</v>
      </c>
      <c r="AP20" s="6">
        <v>0.49421178072863498</v>
      </c>
      <c r="AQ20" s="6" t="s">
        <v>13</v>
      </c>
      <c r="AR20" s="6">
        <v>9.8141134642139402E-2</v>
      </c>
      <c r="AS20" s="3">
        <v>1</v>
      </c>
      <c r="AT20" s="11">
        <v>1.1680999999999999</v>
      </c>
    </row>
    <row r="21" spans="1:46" x14ac:dyDescent="0.3">
      <c r="P21" s="3">
        <v>3</v>
      </c>
      <c r="Q21" s="3" t="s">
        <v>81</v>
      </c>
      <c r="R21" s="4">
        <v>21455</v>
      </c>
      <c r="S21" s="6">
        <v>-0.294568290918656</v>
      </c>
      <c r="T21" s="6">
        <v>-0.17920666815509401</v>
      </c>
      <c r="U21" s="6" t="s">
        <v>13</v>
      </c>
      <c r="V21" s="6">
        <v>3.4492959127732502E-2</v>
      </c>
      <c r="W21" s="3">
        <v>3</v>
      </c>
      <c r="X21" s="11" t="e">
        <v>#N/A</v>
      </c>
      <c r="AA21">
        <v>3</v>
      </c>
      <c r="AB21" t="s">
        <v>85</v>
      </c>
      <c r="AC21" s="5">
        <v>21141</v>
      </c>
      <c r="AD21" s="7">
        <v>0.161784909600484</v>
      </c>
      <c r="AE21" s="7">
        <v>1.85619721524766</v>
      </c>
      <c r="AF21" s="7" t="s">
        <v>12</v>
      </c>
      <c r="AG21" s="7">
        <v>2.5789934410823799E-2</v>
      </c>
      <c r="AH21">
        <v>4</v>
      </c>
      <c r="AI21" s="12">
        <v>3.6208999999999998</v>
      </c>
      <c r="AL21" s="3">
        <v>3</v>
      </c>
      <c r="AM21" s="3" t="s">
        <v>42</v>
      </c>
      <c r="AN21" s="4">
        <v>6887</v>
      </c>
      <c r="AO21" s="6" t="e">
        <v>#DIV/0!</v>
      </c>
      <c r="AP21" s="6">
        <v>-0.152920353982301</v>
      </c>
      <c r="AQ21" s="6" t="s">
        <v>12</v>
      </c>
      <c r="AR21" s="6">
        <v>8.6991807079919603E-2</v>
      </c>
      <c r="AS21" s="3">
        <v>1</v>
      </c>
      <c r="AT21" s="11">
        <v>1.2347999999999999</v>
      </c>
    </row>
    <row r="22" spans="1:46" x14ac:dyDescent="0.3">
      <c r="P22" s="3">
        <v>4</v>
      </c>
      <c r="Q22" s="3" t="s">
        <v>64</v>
      </c>
      <c r="R22" s="4">
        <v>18336</v>
      </c>
      <c r="S22" s="6">
        <v>-4.7223579221624696E-3</v>
      </c>
      <c r="T22" s="6">
        <v>-0.294568290918656</v>
      </c>
      <c r="U22" s="6" t="s">
        <v>13</v>
      </c>
      <c r="V22" s="6">
        <v>2.9478578353115899E-2</v>
      </c>
      <c r="W22" s="3">
        <v>9</v>
      </c>
      <c r="X22" s="11" t="e">
        <v>#N/A</v>
      </c>
      <c r="AA22">
        <v>4</v>
      </c>
      <c r="AB22" t="s">
        <v>102</v>
      </c>
      <c r="AC22" s="5">
        <v>19261</v>
      </c>
      <c r="AD22" s="7">
        <v>0.33877806352957501</v>
      </c>
      <c r="AE22" s="7">
        <v>0.161784909600484</v>
      </c>
      <c r="AF22" s="7" t="s">
        <v>12</v>
      </c>
      <c r="AG22" s="7">
        <v>2.4246754333455599E-2</v>
      </c>
      <c r="AH22">
        <v>9</v>
      </c>
      <c r="AI22" s="12">
        <v>2.9765999999999999</v>
      </c>
      <c r="AL22" s="3">
        <v>4</v>
      </c>
      <c r="AM22" s="3" t="s">
        <v>45</v>
      </c>
      <c r="AN22" s="4">
        <v>6653</v>
      </c>
      <c r="AO22" s="6">
        <v>0.18761156729739401</v>
      </c>
      <c r="AP22" s="6" t="e">
        <v>#DIV/0!</v>
      </c>
      <c r="AQ22" s="6" t="s">
        <v>13</v>
      </c>
      <c r="AR22" s="6">
        <v>7.9977585407327301E-2</v>
      </c>
      <c r="AS22" s="3">
        <v>3</v>
      </c>
      <c r="AT22" s="11">
        <v>1.0075000000000001</v>
      </c>
    </row>
    <row r="23" spans="1:46" x14ac:dyDescent="0.3">
      <c r="P23" s="3">
        <v>5</v>
      </c>
      <c r="Q23" s="3" t="s">
        <v>101</v>
      </c>
      <c r="R23" s="4">
        <v>18187</v>
      </c>
      <c r="S23" s="6">
        <v>-0.12562499999999999</v>
      </c>
      <c r="T23" s="6">
        <v>-4.7223579221624696E-3</v>
      </c>
      <c r="U23" s="6" t="s">
        <v>34</v>
      </c>
      <c r="V23" s="6">
        <v>2.92390327502247E-2</v>
      </c>
      <c r="W23" s="3">
        <v>6</v>
      </c>
      <c r="X23" s="11" t="e">
        <v>#N/A</v>
      </c>
      <c r="AA23">
        <v>5</v>
      </c>
      <c r="AB23" t="s">
        <v>65</v>
      </c>
      <c r="AC23" s="5">
        <v>18590</v>
      </c>
      <c r="AD23" s="7">
        <v>0.28882418191902398</v>
      </c>
      <c r="AE23" s="7">
        <v>0.33877806352957501</v>
      </c>
      <c r="AF23" s="7" t="s">
        <v>12</v>
      </c>
      <c r="AG23" s="7">
        <v>2.3022187035356401E-2</v>
      </c>
      <c r="AH23">
        <v>4</v>
      </c>
      <c r="AI23" s="12">
        <v>3.0613000000000001</v>
      </c>
      <c r="AL23" s="3">
        <v>5</v>
      </c>
      <c r="AM23" s="3" t="s">
        <v>39</v>
      </c>
      <c r="AN23" s="4">
        <v>4808</v>
      </c>
      <c r="AO23" s="6">
        <v>9.2297872340425506</v>
      </c>
      <c r="AP23" s="6">
        <v>0.18761156729739401</v>
      </c>
      <c r="AQ23" s="6" t="s">
        <v>13</v>
      </c>
      <c r="AR23" s="6">
        <v>6.6123048384603506E-2</v>
      </c>
      <c r="AS23" s="3">
        <v>-4</v>
      </c>
      <c r="AT23" s="11">
        <v>0.89470000000000005</v>
      </c>
    </row>
    <row r="24" spans="1:46" x14ac:dyDescent="0.3">
      <c r="P24" s="3">
        <v>6</v>
      </c>
      <c r="Q24" s="3" t="s">
        <v>83</v>
      </c>
      <c r="R24" s="4">
        <v>16221</v>
      </c>
      <c r="S24" s="6">
        <v>-0.249062543400768</v>
      </c>
      <c r="T24" s="6">
        <v>-0.12562499999999999</v>
      </c>
      <c r="U24" s="6" t="s">
        <v>13</v>
      </c>
      <c r="V24" s="6">
        <v>2.6078316942948002E-2</v>
      </c>
      <c r="W24" s="3">
        <v>14</v>
      </c>
      <c r="X24" s="11" t="e">
        <v>#N/A</v>
      </c>
      <c r="AA24">
        <v>6</v>
      </c>
      <c r="AB24" t="s">
        <v>68</v>
      </c>
      <c r="AC24" s="5">
        <v>18445</v>
      </c>
      <c r="AD24" s="7">
        <v>43.338942307692299</v>
      </c>
      <c r="AE24" s="7">
        <v>0.28882418191902398</v>
      </c>
      <c r="AF24" s="7" t="s">
        <v>34</v>
      </c>
      <c r="AG24" s="7">
        <v>2.25153030683376E-2</v>
      </c>
      <c r="AH24">
        <v>0</v>
      </c>
      <c r="AI24" s="12">
        <v>3.0219999999999998</v>
      </c>
      <c r="AL24" s="3">
        <v>6</v>
      </c>
      <c r="AM24" s="3" t="s">
        <v>54</v>
      </c>
      <c r="AN24" s="4">
        <v>4355</v>
      </c>
      <c r="AO24" s="6">
        <v>-0.15173354109855899</v>
      </c>
      <c r="AP24" s="6">
        <v>9.2297872340425506</v>
      </c>
      <c r="AQ24" s="6" t="s">
        <v>13</v>
      </c>
      <c r="AR24" s="6">
        <v>4.97178852991189E-2</v>
      </c>
      <c r="AS24" s="3">
        <v>4</v>
      </c>
      <c r="AT24" s="11">
        <v>0.64929999999999999</v>
      </c>
    </row>
    <row r="25" spans="1:46" x14ac:dyDescent="0.3">
      <c r="P25" s="3">
        <v>7</v>
      </c>
      <c r="Q25" s="3" t="s">
        <v>49</v>
      </c>
      <c r="R25" s="4">
        <v>16074</v>
      </c>
      <c r="S25" s="6">
        <v>0.22254335260115601</v>
      </c>
      <c r="T25" s="6">
        <v>-0.249062543400768</v>
      </c>
      <c r="U25" s="6" t="s">
        <v>13</v>
      </c>
      <c r="V25" s="6">
        <v>2.5841986717276701E-2</v>
      </c>
      <c r="W25" s="3">
        <v>0</v>
      </c>
      <c r="X25" s="11" t="e">
        <v>#N/A</v>
      </c>
      <c r="AA25">
        <v>7</v>
      </c>
      <c r="AB25" t="s">
        <v>71</v>
      </c>
      <c r="AC25" s="5">
        <v>18207</v>
      </c>
      <c r="AD25" s="7">
        <v>-0.26101956327623999</v>
      </c>
      <c r="AE25" s="7">
        <v>43.338942307692299</v>
      </c>
      <c r="AF25" s="7" t="s">
        <v>13</v>
      </c>
      <c r="AG25" s="7">
        <v>2.20132465676714E-2</v>
      </c>
      <c r="AH25">
        <v>4</v>
      </c>
      <c r="AI25" s="12">
        <v>3.1185999999999998</v>
      </c>
      <c r="AL25" s="3">
        <v>7</v>
      </c>
      <c r="AM25" s="3" t="s">
        <v>69</v>
      </c>
      <c r="AN25" s="4">
        <v>3875</v>
      </c>
      <c r="AO25" s="6">
        <v>3.6076099881093899</v>
      </c>
      <c r="AP25" s="6">
        <v>-0.15173354109855899</v>
      </c>
      <c r="AQ25" s="6" t="s">
        <v>13</v>
      </c>
      <c r="AR25" s="6">
        <v>4.7650332354305103E-2</v>
      </c>
      <c r="AS25" s="3">
        <v>1</v>
      </c>
      <c r="AT25" s="11">
        <v>0.57689999999999997</v>
      </c>
    </row>
    <row r="26" spans="1:46" x14ac:dyDescent="0.3">
      <c r="P26" s="3">
        <v>8</v>
      </c>
      <c r="Q26" s="3" t="s">
        <v>30</v>
      </c>
      <c r="R26" s="4">
        <v>14878</v>
      </c>
      <c r="S26" s="6">
        <v>-0.33297466935664699</v>
      </c>
      <c r="T26" s="6">
        <v>0.22254335260115601</v>
      </c>
      <c r="U26" s="6" t="s">
        <v>11</v>
      </c>
      <c r="V26" s="6">
        <v>2.3919191139706499E-2</v>
      </c>
      <c r="W26" s="3">
        <v>-6</v>
      </c>
      <c r="X26" s="11" t="e">
        <v>#N/A</v>
      </c>
      <c r="AA26">
        <v>8</v>
      </c>
      <c r="AB26" t="s">
        <v>95</v>
      </c>
      <c r="AC26" s="5">
        <v>17654</v>
      </c>
      <c r="AD26" s="7">
        <v>-2.93066476054324E-2</v>
      </c>
      <c r="AE26" s="7">
        <v>-0.26101956327623999</v>
      </c>
      <c r="AF26" s="7" t="s">
        <v>13</v>
      </c>
      <c r="AG26" s="7">
        <v>2.0885228596623302E-2</v>
      </c>
      <c r="AH26">
        <v>11</v>
      </c>
      <c r="AI26" s="12">
        <v>3.1646000000000001</v>
      </c>
      <c r="AL26" s="3">
        <v>8</v>
      </c>
      <c r="AM26" s="3" t="s">
        <v>57</v>
      </c>
      <c r="AN26" s="4">
        <v>3717</v>
      </c>
      <c r="AO26" s="6">
        <v>-0.24173806609547099</v>
      </c>
      <c r="AP26" s="6">
        <v>3.6076099881093899</v>
      </c>
      <c r="AQ26" s="6" t="s">
        <v>13</v>
      </c>
      <c r="AR26" s="6">
        <v>4.3727778636574399E-2</v>
      </c>
      <c r="AS26" s="3">
        <v>-3</v>
      </c>
      <c r="AT26" s="11">
        <v>0.59599999999999997</v>
      </c>
    </row>
    <row r="27" spans="1:46" x14ac:dyDescent="0.3">
      <c r="P27" s="3">
        <v>9</v>
      </c>
      <c r="Q27" s="3" t="s">
        <v>87</v>
      </c>
      <c r="R27" s="4">
        <v>14625</v>
      </c>
      <c r="S27" s="6">
        <v>-0.22778393790590801</v>
      </c>
      <c r="T27" s="6">
        <v>-0.33297466935664699</v>
      </c>
      <c r="U27" s="6" t="s">
        <v>12</v>
      </c>
      <c r="V27" s="6">
        <v>2.35124459213744E-2</v>
      </c>
      <c r="W27" s="3">
        <v>9</v>
      </c>
      <c r="X27" s="11" t="e">
        <v>#N/A</v>
      </c>
      <c r="AA27">
        <v>9</v>
      </c>
      <c r="AB27" t="s">
        <v>59</v>
      </c>
      <c r="AC27" s="5">
        <v>17590</v>
      </c>
      <c r="AD27" s="7" t="e">
        <v>#DIV/0!</v>
      </c>
      <c r="AE27" s="7">
        <v>-2.93066476054324E-2</v>
      </c>
      <c r="AF27" s="7" t="s">
        <v>13</v>
      </c>
      <c r="AG27" s="7">
        <v>2.05778799055104E-2</v>
      </c>
      <c r="AH27">
        <v>-6</v>
      </c>
      <c r="AI27" s="12">
        <v>2.8662000000000001</v>
      </c>
      <c r="AL27" s="3">
        <v>9</v>
      </c>
      <c r="AM27" s="3" t="s">
        <v>60</v>
      </c>
      <c r="AN27" s="4">
        <v>3485</v>
      </c>
      <c r="AO27" s="6">
        <v>-0.13373104648272399</v>
      </c>
      <c r="AP27" s="6">
        <v>-0.24173806609547099</v>
      </c>
      <c r="AQ27" s="6" t="s">
        <v>11</v>
      </c>
      <c r="AR27" s="6">
        <v>4.3341320142216699E-2</v>
      </c>
      <c r="AS27" s="3">
        <v>3</v>
      </c>
      <c r="AT27" s="11">
        <v>0.60580000000000001</v>
      </c>
    </row>
    <row r="28" spans="1:46" x14ac:dyDescent="0.3">
      <c r="P28" s="3">
        <v>10</v>
      </c>
      <c r="Q28" s="3" t="s">
        <v>96</v>
      </c>
      <c r="R28" s="4">
        <v>14357</v>
      </c>
      <c r="S28" s="6">
        <v>-0.17303150740164699</v>
      </c>
      <c r="T28" s="6">
        <v>-0.22778393790590801</v>
      </c>
      <c r="U28" s="6" t="s">
        <v>12</v>
      </c>
      <c r="V28" s="6">
        <v>2.30815853738921E-2</v>
      </c>
      <c r="W28" s="3">
        <v>4</v>
      </c>
      <c r="X28" s="11" t="e">
        <v>#N/A</v>
      </c>
      <c r="AA28">
        <v>10</v>
      </c>
      <c r="AB28" t="s">
        <v>94</v>
      </c>
      <c r="AC28" s="5">
        <v>17444</v>
      </c>
      <c r="AD28" s="7">
        <v>0.69457936662133302</v>
      </c>
      <c r="AE28" s="7" t="e">
        <v>#DIV/0!</v>
      </c>
      <c r="AF28" s="7" t="s">
        <v>12</v>
      </c>
      <c r="AG28" s="7">
        <v>1.9955136746030201E-2</v>
      </c>
      <c r="AH28">
        <v>-2</v>
      </c>
      <c r="AI28" s="12">
        <v>3.1751</v>
      </c>
      <c r="AL28" s="3">
        <v>10</v>
      </c>
      <c r="AM28" s="3" t="s">
        <v>48</v>
      </c>
      <c r="AN28" s="4">
        <v>3388</v>
      </c>
      <c r="AO28" s="6">
        <v>-0.66633838881229102</v>
      </c>
      <c r="AP28" s="6">
        <v>-0.13373104648272399</v>
      </c>
      <c r="AQ28" s="6" t="s">
        <v>13</v>
      </c>
      <c r="AR28" s="6">
        <v>4.1486319369299703E-2</v>
      </c>
      <c r="AS28" s="3">
        <v>-4</v>
      </c>
      <c r="AT28" s="11">
        <v>0.56510000000000005</v>
      </c>
    </row>
    <row r="29" spans="1:46" x14ac:dyDescent="0.3">
      <c r="P29" s="3">
        <v>11</v>
      </c>
      <c r="Q29" s="3" t="s">
        <v>100</v>
      </c>
      <c r="R29" s="4">
        <v>13802</v>
      </c>
      <c r="S29" s="6">
        <v>-0.169554753309266</v>
      </c>
      <c r="T29" s="6">
        <v>-0.17303150740164699</v>
      </c>
      <c r="U29" s="6" t="s">
        <v>13</v>
      </c>
      <c r="V29" s="6">
        <v>2.2189318195337399E-2</v>
      </c>
      <c r="W29" s="3">
        <v>-3</v>
      </c>
      <c r="X29" s="11" t="e">
        <v>#N/A</v>
      </c>
      <c r="AA29">
        <v>11</v>
      </c>
      <c r="AB29" t="s">
        <v>31</v>
      </c>
      <c r="AC29" s="5">
        <v>17073</v>
      </c>
      <c r="AD29" s="7">
        <v>-0.335732627811065</v>
      </c>
      <c r="AE29" s="7">
        <v>0.69457936662133302</v>
      </c>
      <c r="AF29" s="7" t="s">
        <v>13</v>
      </c>
      <c r="AG29" s="7">
        <v>1.9346875985607699E-2</v>
      </c>
      <c r="AH29">
        <v>-10</v>
      </c>
      <c r="AI29" s="12">
        <v>3.4952000000000001</v>
      </c>
      <c r="AL29" s="3">
        <v>11</v>
      </c>
      <c r="AM29" s="3" t="s">
        <v>80</v>
      </c>
      <c r="AN29" s="4">
        <v>2938</v>
      </c>
      <c r="AO29" s="6" t="e">
        <v>#DIV/0!</v>
      </c>
      <c r="AP29" s="6">
        <v>-0.66633838881229102</v>
      </c>
      <c r="AQ29" s="6" t="s">
        <v>13</v>
      </c>
      <c r="AR29" s="6">
        <v>4.1312413046838803E-2</v>
      </c>
      <c r="AS29" s="3">
        <v>0</v>
      </c>
      <c r="AT29" s="11">
        <v>0.54039999999999999</v>
      </c>
    </row>
    <row r="30" spans="1:46" x14ac:dyDescent="0.3">
      <c r="P30" s="3">
        <v>12</v>
      </c>
      <c r="Q30" s="3" t="s">
        <v>108</v>
      </c>
      <c r="R30" s="4">
        <v>13654</v>
      </c>
      <c r="S30" s="6">
        <v>0.289694908850477</v>
      </c>
      <c r="T30" s="6">
        <v>-0.169554753309266</v>
      </c>
      <c r="U30" s="6" t="s">
        <v>34</v>
      </c>
      <c r="V30" s="6">
        <v>2.1951380281056102E-2</v>
      </c>
      <c r="W30" s="3">
        <v>7</v>
      </c>
      <c r="X30" s="11" t="e">
        <v>#N/A</v>
      </c>
      <c r="AA30">
        <v>12</v>
      </c>
      <c r="AB30" t="s">
        <v>38</v>
      </c>
      <c r="AC30" s="5">
        <v>16870</v>
      </c>
      <c r="AD30" s="7" t="e">
        <v>#DIV/0!</v>
      </c>
      <c r="AE30" s="7">
        <v>-0.335732627811065</v>
      </c>
      <c r="AF30" s="7" t="s">
        <v>13</v>
      </c>
      <c r="AG30" s="7">
        <v>1.8947805433796101E-2</v>
      </c>
      <c r="AH30">
        <v>5</v>
      </c>
      <c r="AI30" s="12">
        <v>3.2896999999999998</v>
      </c>
      <c r="AL30" s="3">
        <v>12</v>
      </c>
      <c r="AM30" s="3" t="s">
        <v>75</v>
      </c>
      <c r="AN30" s="4">
        <v>2874</v>
      </c>
      <c r="AO30" s="6">
        <v>-0.14768683274021399</v>
      </c>
      <c r="AP30" s="6" t="e">
        <v>#DIV/0!</v>
      </c>
      <c r="AQ30" s="6" t="s">
        <v>12</v>
      </c>
      <c r="AR30" s="6">
        <v>3.6597619415674798E-2</v>
      </c>
      <c r="AS30" s="3">
        <v>2</v>
      </c>
      <c r="AT30" s="11">
        <v>0.42730000000000001</v>
      </c>
    </row>
    <row r="31" spans="1:46" x14ac:dyDescent="0.3">
      <c r="P31" s="3">
        <v>13</v>
      </c>
      <c r="Q31" s="3" t="s">
        <v>70</v>
      </c>
      <c r="R31" s="4">
        <v>13583</v>
      </c>
      <c r="S31" s="6">
        <v>9.1968807781975997E-2</v>
      </c>
      <c r="T31" s="6">
        <v>0.289694908850477</v>
      </c>
      <c r="U31" s="6" t="s">
        <v>13</v>
      </c>
      <c r="V31" s="6">
        <v>2.18372343897455E-2</v>
      </c>
      <c r="W31" s="3">
        <v>2</v>
      </c>
      <c r="X31" s="11" t="e">
        <v>#N/A</v>
      </c>
      <c r="AA31">
        <v>13</v>
      </c>
      <c r="AB31" t="s">
        <v>84</v>
      </c>
      <c r="AC31" s="5">
        <v>16516</v>
      </c>
      <c r="AD31" s="7">
        <v>0.20055244602747699</v>
      </c>
      <c r="AE31" s="7" t="e">
        <v>#DIV/0!</v>
      </c>
      <c r="AF31" s="7" t="s">
        <v>12</v>
      </c>
      <c r="AG31" s="7">
        <v>1.78165691518463E-2</v>
      </c>
      <c r="AH31">
        <v>2</v>
      </c>
      <c r="AI31" s="12">
        <v>2.8917000000000002</v>
      </c>
      <c r="AL31" s="3">
        <v>13</v>
      </c>
      <c r="AM31" s="3" t="s">
        <v>63</v>
      </c>
      <c r="AN31" s="4">
        <v>2718</v>
      </c>
      <c r="AO31" s="6">
        <v>-0.43209360635186</v>
      </c>
      <c r="AP31" s="6">
        <v>-0.14768683274021399</v>
      </c>
      <c r="AQ31" s="6" t="s">
        <v>11</v>
      </c>
      <c r="AR31" s="6">
        <v>2.7032771680321501E-2</v>
      </c>
      <c r="AS31" s="3">
        <v>3</v>
      </c>
      <c r="AT31" s="11">
        <v>0.48649999999999999</v>
      </c>
    </row>
    <row r="32" spans="1:46" x14ac:dyDescent="0.3">
      <c r="P32" s="3">
        <v>14</v>
      </c>
      <c r="Q32" s="3" t="s">
        <v>67</v>
      </c>
      <c r="R32" s="4">
        <v>13460</v>
      </c>
      <c r="S32" s="6">
        <v>-0.161109379869118</v>
      </c>
      <c r="T32" s="6">
        <v>9.1968807781975997E-2</v>
      </c>
      <c r="U32" s="6" t="s">
        <v>34</v>
      </c>
      <c r="V32" s="6">
        <v>2.1639488690714501E-2</v>
      </c>
      <c r="W32" s="3">
        <v>8</v>
      </c>
      <c r="X32" s="11" t="e">
        <v>#N/A</v>
      </c>
      <c r="AA32">
        <v>14</v>
      </c>
      <c r="AB32" t="s">
        <v>62</v>
      </c>
      <c r="AC32" s="5">
        <v>16212</v>
      </c>
      <c r="AD32" s="7">
        <v>0.29664880428697099</v>
      </c>
      <c r="AE32" s="7">
        <v>0.20055244602747699</v>
      </c>
      <c r="AF32" s="7" t="s">
        <v>12</v>
      </c>
      <c r="AG32" s="7">
        <v>1.6904178011212599E-2</v>
      </c>
      <c r="AH32">
        <v>12</v>
      </c>
      <c r="AI32" s="12">
        <v>2.9891999999999999</v>
      </c>
      <c r="AL32" s="3">
        <v>14</v>
      </c>
      <c r="AM32" s="3" t="s">
        <v>86</v>
      </c>
      <c r="AN32" s="4">
        <v>1973</v>
      </c>
      <c r="AO32" s="6">
        <v>1.74791086350975</v>
      </c>
      <c r="AP32" s="6">
        <v>-0.43209360635186</v>
      </c>
      <c r="AQ32" s="6" t="s">
        <v>13</v>
      </c>
      <c r="AR32" s="6">
        <v>2.2801051167104701E-2</v>
      </c>
      <c r="AS32" s="3">
        <v>4</v>
      </c>
      <c r="AT32" s="11">
        <v>0.31169999999999998</v>
      </c>
    </row>
    <row r="33" spans="16:46" x14ac:dyDescent="0.3">
      <c r="P33" s="3">
        <v>15</v>
      </c>
      <c r="Q33" s="3" t="s">
        <v>97</v>
      </c>
      <c r="R33" s="4">
        <v>13444</v>
      </c>
      <c r="S33" s="6">
        <v>6.3271116735210506E-2</v>
      </c>
      <c r="T33" s="6">
        <v>-0.161109379869118</v>
      </c>
      <c r="U33" s="6" t="s">
        <v>12</v>
      </c>
      <c r="V33" s="6">
        <v>2.16137656729543E-2</v>
      </c>
      <c r="W33" s="3">
        <v>11</v>
      </c>
      <c r="X33" s="11" t="e">
        <v>#N/A</v>
      </c>
      <c r="AA33">
        <v>15</v>
      </c>
      <c r="AB33" t="s">
        <v>109</v>
      </c>
      <c r="AC33" s="5">
        <v>14815</v>
      </c>
      <c r="AD33" s="7">
        <v>6.9211893764434207E-2</v>
      </c>
      <c r="AE33" s="7">
        <v>0.29664880428697099</v>
      </c>
      <c r="AF33" s="7" t="s">
        <v>13</v>
      </c>
      <c r="AG33" s="7">
        <v>1.5966040383365201E-2</v>
      </c>
      <c r="AH33">
        <v>6</v>
      </c>
      <c r="AI33" s="12">
        <v>2.2574999999999998</v>
      </c>
      <c r="AL33" s="3">
        <v>15</v>
      </c>
      <c r="AM33" s="3" t="s">
        <v>51</v>
      </c>
      <c r="AN33" s="4">
        <v>1614</v>
      </c>
      <c r="AO33" s="6">
        <v>8.6137281292059095E-2</v>
      </c>
      <c r="AP33" s="6">
        <v>1.74791086350975</v>
      </c>
      <c r="AQ33" s="6" t="s">
        <v>11</v>
      </c>
      <c r="AR33" s="6">
        <v>2.21054258772608E-2</v>
      </c>
      <c r="AS33" s="3">
        <v>-6</v>
      </c>
      <c r="AT33" s="11">
        <v>0.27939999999999998</v>
      </c>
    </row>
    <row r="34" spans="16:46" x14ac:dyDescent="0.3">
      <c r="P34" s="3"/>
      <c r="Q34" s="3"/>
      <c r="R34" s="3"/>
      <c r="S34" s="3"/>
      <c r="T34" s="3"/>
      <c r="U34" s="3"/>
      <c r="V34" s="3"/>
      <c r="W34" s="3"/>
      <c r="X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6:46" x14ac:dyDescent="0.3">
      <c r="P35" s="3"/>
      <c r="Q35" s="3"/>
      <c r="R35" s="3"/>
      <c r="S35" s="3"/>
      <c r="T35" s="3"/>
      <c r="V35" s="3"/>
      <c r="W35" s="3"/>
      <c r="X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6:46" x14ac:dyDescent="0.3">
      <c r="U36" s="1" t="s">
        <v>76</v>
      </c>
      <c r="V36" s="7">
        <v>0.40477097671906098</v>
      </c>
      <c r="AF36" s="1" t="s">
        <v>76</v>
      </c>
      <c r="AG36" s="7">
        <v>0.32914792000566401</v>
      </c>
      <c r="AQ36" s="1" t="s">
        <v>76</v>
      </c>
      <c r="AR36" s="7">
        <v>0.81252898438707699</v>
      </c>
    </row>
  </sheetData>
  <mergeCells count="6">
    <mergeCell ref="AL1:AT2"/>
    <mergeCell ref="A1:E2"/>
    <mergeCell ref="H1:M2"/>
    <mergeCell ref="P1:X2"/>
    <mergeCell ref="AA1:AE2"/>
    <mergeCell ref="AF1:A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6月</vt:lpstr>
      <vt:lpstr>5月</vt:lpstr>
      <vt:lpstr>4月</vt:lpstr>
      <vt:lpstr>3月</vt:lpstr>
      <vt:lpstr>2月</vt:lpstr>
      <vt:lpstr>1月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佳荧 张</dc:creator>
  <cp:lastModifiedBy>冰雨 张</cp:lastModifiedBy>
  <dcterms:created xsi:type="dcterms:W3CDTF">2026-07-07T07:32:00Z</dcterms:created>
  <dcterms:modified xsi:type="dcterms:W3CDTF">2026-07-20T01:57:16Z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26146C0E4AA54055998ABCB2B2454908_12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